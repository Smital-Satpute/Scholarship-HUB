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Poonam Satpute\ScholarshipHUB\database\"/>
    </mc:Choice>
  </mc:AlternateContent>
  <xr:revisionPtr revIDLastSave="0" documentId="13_ncr:1_{6477159C-2F80-42B5-88F5-1C6D98802754}" xr6:coauthVersionLast="47" xr6:coauthVersionMax="47" xr10:uidLastSave="{00000000-0000-0000-0000-000000000000}"/>
  <bookViews>
    <workbookView xWindow="-108" yWindow="-108" windowWidth="23256" windowHeight="12456" xr2:uid="{56ED5868-1434-473B-9986-052BC3529F7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86" i="1" l="1"/>
  <c r="L185" i="1"/>
  <c r="L184" i="1"/>
  <c r="L182" i="1"/>
  <c r="L179" i="1"/>
  <c r="L177" i="1"/>
  <c r="L175" i="1"/>
  <c r="L174" i="1"/>
  <c r="L170" i="1"/>
  <c r="L168" i="1"/>
  <c r="L167" i="1"/>
  <c r="L166" i="1"/>
  <c r="L165" i="1"/>
  <c r="L144" i="1"/>
  <c r="L143" i="1"/>
  <c r="L141" i="1"/>
  <c r="L131" i="1"/>
  <c r="J9" i="1"/>
</calcChain>
</file>

<file path=xl/sharedStrings.xml><?xml version="1.0" encoding="utf-8"?>
<sst xmlns="http://schemas.openxmlformats.org/spreadsheetml/2006/main" count="3363" uniqueCount="2599">
  <si>
    <t xml:space="preserve">Sr No. </t>
  </si>
  <si>
    <t>Description</t>
  </si>
  <si>
    <t>Steps</t>
  </si>
  <si>
    <t>Video link</t>
  </si>
  <si>
    <t>email</t>
  </si>
  <si>
    <t>contact</t>
  </si>
  <si>
    <t>Abdul Kalam Technology Innovation National Fellowship</t>
  </si>
  <si>
    <t>Academia Higher Education College Meritorious Scholarship (Slovenia, EU)</t>
  </si>
  <si>
    <t xml:space="preserve">AcSIR Dr APJ Abdul Kalam Summer Training Program </t>
  </si>
  <si>
    <t>Adobe India Women-in-Technology Scholarship</t>
  </si>
  <si>
    <t>Ahindi Bhashik Scholarship, Maharashtra</t>
  </si>
  <si>
    <t>AICTE PG (GATE/GPAT) Scholarship</t>
  </si>
  <si>
    <t>AICTE PG (GATE/GPAT) Scholarship for Indian Students</t>
  </si>
  <si>
    <t>AICTE-National Doctoral Fellowship Scheme</t>
  </si>
  <si>
    <t>Ajmal National Talent Search (ANTS) Examination</t>
  </si>
  <si>
    <t>AKANKSHA Scholarship</t>
  </si>
  <si>
    <t>Algappa University JRF DST PURSE Program</t>
  </si>
  <si>
    <t>All India Engineering Entrance Scholarship Examination (Primary)</t>
  </si>
  <si>
    <t>All India Maths Science (AIMS) Talent Examination</t>
  </si>
  <si>
    <t>All India Pre-medical Scholarship Test (Secondary)</t>
  </si>
  <si>
    <t>All India Youth Scholarship Entrance Examination (AIYSEE)</t>
  </si>
  <si>
    <t>Amity Global Institute Merit Scholarship, Singapore</t>
  </si>
  <si>
    <t>Amrita Entrance Examination-Engineering (AEEE)</t>
  </si>
  <si>
    <t>AMS Scholarship, Maharashtra</t>
  </si>
  <si>
    <t>AOEC Talent Test</t>
  </si>
  <si>
    <t>Baba Gurbachan Singh Scholarship Scheme</t>
  </si>
  <si>
    <t xml:space="preserve">Babulal Nagarmal Satnalika Foundation Scholarship </t>
  </si>
  <si>
    <t>Bath Spa University Meritorious Scholarship</t>
  </si>
  <si>
    <t>BBA International Scholarship</t>
  </si>
  <si>
    <t>Bighelp National Merit Scholarship</t>
  </si>
  <si>
    <t>Bigyani Kanya Medha Britti Scholarship (JBNSTS), West Bengal</t>
  </si>
  <si>
    <t>Blind/PH Scholarship, Kerala</t>
  </si>
  <si>
    <t>Bloom Buddies Merit Cum Means Scholarship</t>
  </si>
  <si>
    <t xml:space="preserve">Bob and Margaret Frater International Travel Scholarship </t>
  </si>
  <si>
    <t>Book Bank for SC Students, Maharashtra</t>
  </si>
  <si>
    <t>Brazilian Government Scholarship</t>
  </si>
  <si>
    <t>British Council GREAT Education Full Scholarships</t>
  </si>
  <si>
    <t>BTSE Bihar Talent Search Examination</t>
  </si>
  <si>
    <t xml:space="preserve">Carole Stone Foundation Scholarship </t>
  </si>
  <si>
    <t>Central Sector Scheme of Scholarship for College and University Students</t>
  </si>
  <si>
    <t>Chandigarh Post-Matric Scholarship for Transgender Students</t>
  </si>
  <si>
    <t>Chandigarh University Scholarship and Admission Test (CU-SAT)</t>
  </si>
  <si>
    <t>Coal India Limited Scholarship in India, 2019</t>
  </si>
  <si>
    <t>Colgate Scholarship</t>
  </si>
  <si>
    <t>College of Law and Business Scholarship for Indian Students, Israel</t>
  </si>
  <si>
    <t>Comix competition (International)</t>
  </si>
  <si>
    <t>Consolidated Stipend Scheme for SC Students, Haryana</t>
  </si>
  <si>
    <t>Cultural Talent Search Scholarship Scheme</t>
  </si>
  <si>
    <t xml:space="preserve">Cultural Talent Search Scholarship Scheme </t>
  </si>
  <si>
    <t>DAIICT Admission Cum Scholarship</t>
  </si>
  <si>
    <t>Deakin India Merit Scholarship</t>
  </si>
  <si>
    <t>Dhirubhai Ambani Scholarship Programme</t>
  </si>
  <si>
    <t>Digital India Internship Scheme</t>
  </si>
  <si>
    <t>Dr. B.R. Ambedkar Post Matric Scholarship for EBC Tripura</t>
  </si>
  <si>
    <t xml:space="preserve">Dr. N. Sitaraman Memorial Intercollegiate Chemistry Quiz Competition, NIT Calicut </t>
  </si>
  <si>
    <t>Dr. Reddy’s Foundation Sashakt Scholarship</t>
  </si>
  <si>
    <t>DST and Texas Instruments India Innovation Challenge Design Contest</t>
  </si>
  <si>
    <t>Early Success Merit cum Means Scholarship</t>
  </si>
  <si>
    <t>Energy &amp; Mobility for the Future Scholarship</t>
  </si>
  <si>
    <t>Fedbank Hormis Memorial Foundation Scholarships</t>
  </si>
  <si>
    <t>FICA Emerging Artist Award</t>
  </si>
  <si>
    <t>Financial Assistance for Education of the Wards of Beedi/Cine/IOMC/LSDM Workers – Post-Matric</t>
  </si>
  <si>
    <t>Foundation for Excellence Scholarship</t>
  </si>
  <si>
    <t xml:space="preserve">Foundation for Excellence Scholarship </t>
  </si>
  <si>
    <t xml:space="preserve">Foundation For Excellence Scholarship </t>
  </si>
  <si>
    <t xml:space="preserve">Foyle Young Poets of the Year Award </t>
  </si>
  <si>
    <t>G.P. Birla Education Foundation Scholarship</t>
  </si>
  <si>
    <t>Gaurav Foundation Scholarship</t>
  </si>
  <si>
    <t>GEMS Genius Scholarship</t>
  </si>
  <si>
    <t xml:space="preserve">German Chancellor Fellowships for prospective leaders </t>
  </si>
  <si>
    <t>GITAM Admission Test (GAT)</t>
  </si>
  <si>
    <t xml:space="preserve">Global Youth Video Competition </t>
  </si>
  <si>
    <t>Government of India Post-Matric Scholarship for ST, Maharashtra</t>
  </si>
  <si>
    <t>GV School Development Programme (GVSDP), VIT Scholarships</t>
  </si>
  <si>
    <t>Harish-Chandra Research Institute Visiting Students Program in Physics</t>
  </si>
  <si>
    <t>Haryana State Merit Scholarship</t>
  </si>
  <si>
    <t>HDFC Educational Crisis Scholarship</t>
  </si>
  <si>
    <t>Hindi Scholarship (HS), Kerala</t>
  </si>
  <si>
    <t>IDB Undergraduate Scholarship Programme</t>
  </si>
  <si>
    <t>IET India Scholarship Award 2016</t>
  </si>
  <si>
    <t>IISc Summer Fellowship in Science and Engineering</t>
  </si>
  <si>
    <t>IIT Guwahati Institute Merit Scholarships (IMS) in India, 2019</t>
  </si>
  <si>
    <t>IITB-Monash Research Academy PhD Scholarships</t>
  </si>
  <si>
    <t>India Class XII Excellence Scholarship for Law, 2017</t>
  </si>
  <si>
    <t>India High Achievers Scholarships, 2017</t>
  </si>
  <si>
    <t>India International Excellence Scholarship</t>
  </si>
  <si>
    <t>India Undergraduate Scholarships, 2017</t>
  </si>
  <si>
    <t>Indian Engineering Olympiad</t>
  </si>
  <si>
    <t>Indian Institute of Technology Guwahati - SC-ST Scholarships in India, 2019</t>
  </si>
  <si>
    <t>Indian Scholarship &amp; Trust Fund</t>
  </si>
  <si>
    <t>Indian Women's Association, Bonn (IWAB) Scholarship</t>
  </si>
  <si>
    <t>Indo-U.S. Fellowship for Women in STEMM</t>
  </si>
  <si>
    <t>IndusInd Foundation Merit-cum-Means Scholarship</t>
  </si>
  <si>
    <t>Inlaks Fellowships for Indian Classical Music</t>
  </si>
  <si>
    <t>Inspire Merit cum Means Scholarship</t>
  </si>
  <si>
    <t>Ishan Uday Scholarships in India, 2020</t>
  </si>
  <si>
    <t>J C Bose National Fellowship (Science &amp; Engineering Research Board)</t>
  </si>
  <si>
    <t>Jawahar Navodaya Vidyalaya Selection Test Against Vacant Seats (for class 11)</t>
  </si>
  <si>
    <t>JM Sethia Merit Scholarship Scheme</t>
  </si>
  <si>
    <t>JSPN Scholarship</t>
  </si>
  <si>
    <t>Kalakriti Fellowship</t>
  </si>
  <si>
    <t>Karunya Varsham Scholarship</t>
  </si>
  <si>
    <t>Keep India Smiling Foundation Scholarship Programme</t>
  </si>
  <si>
    <t>Khorana Program for Scholars</t>
  </si>
  <si>
    <t>Kishore Vaigyanik Protsahan Yojana (KVPY)</t>
  </si>
  <si>
    <t>L’Oréal India For Young Women in Science Scholarship</t>
  </si>
  <si>
    <t>Lakshmi Mittal South Asia Institute Internship Grant</t>
  </si>
  <si>
    <t>Lalit Kala Akademi Scholarship</t>
  </si>
  <si>
    <t>Lancaster University Management School Undergraduate Scholarship</t>
  </si>
  <si>
    <t>Late Sri. A. Gopal Endowment Scholarship , Karnataka</t>
  </si>
  <si>
    <t>M-Scholarship</t>
  </si>
  <si>
    <t>Madhobi Chatterji Memorial Fellowship</t>
  </si>
  <si>
    <t>Mani Mann Fellowship</t>
  </si>
  <si>
    <t>Marubeni India Meritorious Scholarship</t>
  </si>
  <si>
    <t>Meghalaya Border Areas Scholarship</t>
  </si>
  <si>
    <t>Merck India Charitable Trust (MICT) Scholarship Program</t>
  </si>
  <si>
    <t>Merit Cum Means Scholarship for Professional and Technical Courses CS (Minorities)</t>
  </si>
  <si>
    <t>Merit Scholarship for SC/ST/OBC/Minority Students, Delhi</t>
  </si>
  <si>
    <t>Merit-cum-Means Minority Scholarship Scheme, Haryana</t>
  </si>
  <si>
    <t>Mukhyamantri Medhavi Vidyarthi Yojana (MMVY), Madhya Pradesh</t>
  </si>
  <si>
    <t>Music Fine Arts Scholarship (MFAS), Kerala</t>
  </si>
  <si>
    <t>Muslim Nadar Girls Scholarship, Kerala</t>
  </si>
  <si>
    <t>Nagaland State Merit Scholarship</t>
  </si>
  <si>
    <t>National Child Award for Exceptional Achievement</t>
  </si>
  <si>
    <t>National Entrance Screening Test (NEST)</t>
  </si>
  <si>
    <t>National Fellowship and Scholarship for Higher Education of ST Students</t>
  </si>
  <si>
    <t>National Means Cum Merit Scholarship</t>
  </si>
  <si>
    <t>National Scholarship Exam</t>
  </si>
  <si>
    <t>National Science Concours (NSC)</t>
  </si>
  <si>
    <t>Nationwide Education and Scholarship Test (NEST-Senior)</t>
  </si>
  <si>
    <t>NBHM Scholarship for Post Graduate Studies in Mathematics</t>
  </si>
  <si>
    <t>NEC Merit Scholarship, Tripura</t>
  </si>
  <si>
    <t>NEC Stipend and Book Grant Scheme, Nagaland</t>
  </si>
  <si>
    <t>New India Foundation Fellowships 2018</t>
  </si>
  <si>
    <t>Nirankari Rajmata Scholarship Scheme</t>
  </si>
  <si>
    <t>Nirmaan Scholarship and Mentorship Program (NSMP)</t>
  </si>
  <si>
    <t>NIU Scholarship cum Admission Test</t>
  </si>
  <si>
    <t>North South Foundation (NSF) Scholarship</t>
  </si>
  <si>
    <t>Nurture Merit cum Means Scholarship</t>
  </si>
  <si>
    <t>Nurturing Brilliance Cummins Scholarship Program</t>
  </si>
  <si>
    <t>OIL Awards &amp; OIL Merit Scholarship</t>
  </si>
  <si>
    <t>OP Jindal Engineer &amp; Management Scholarship</t>
  </si>
  <si>
    <t>Open Merit Scholarships for EBC Students, Maharashtra</t>
  </si>
  <si>
    <t>Padala Charitable Trust Scholarship</t>
  </si>
  <si>
    <t>Post matric (Other Than Intermediate) Scholarship for Minorities, Uttar Pradesh</t>
  </si>
  <si>
    <t>Post matric (Other Than Intermediate) Scholarship for OBC, Uttar Pradesh</t>
  </si>
  <si>
    <t>Post matric (Other than Intermediate) Scholarship for ST, SC, General Category, Uttar Pradesh</t>
  </si>
  <si>
    <t>Post matric Other State Scholarship for ST, SC, General Category, Uttar Pradesh</t>
  </si>
  <si>
    <t>Post Matric Scholarship (PMS) For OBC/SC/ST Students, Bihar</t>
  </si>
  <si>
    <t>Post Matric Scholarship for SC/ST/OBC, Chhattisgarh</t>
  </si>
  <si>
    <t>Post Matric Scholarship for Students with Disabilities</t>
  </si>
  <si>
    <t>Post Matric Scholarship Scheme for SC and OBC, Chandigarh</t>
  </si>
  <si>
    <t>Post Matric Scholarships Scheme for Minorities</t>
  </si>
  <si>
    <t>Post Metric Scholarship Scheme for OBC Students, Madhya Pradesh</t>
  </si>
  <si>
    <t>Post-matric (Other Than Intermediate) Scholarship for Minorities, Uttar Pradesh</t>
  </si>
  <si>
    <t>Post-matric Scholarship for Disabled, Maharashtra</t>
  </si>
  <si>
    <t>Post-Matric Scholarship for SC/ST/OBC Students, Uttarakhand</t>
  </si>
  <si>
    <t>Post-Matric Scholarship for Schedule Tribe Students, Nagaland</t>
  </si>
  <si>
    <t>Pre and Post Matric Disability Scholarship Uttarakhand</t>
  </si>
  <si>
    <t>Pre and Post Matric Scholarship for OBC students, Delhi</t>
  </si>
  <si>
    <t>Pre and Post Matric Scholarship for SC students, Delhi</t>
  </si>
  <si>
    <t>PRERANA Post Matric Scholarship for ST/SC/OBC/SEBC/EBC Communities</t>
  </si>
  <si>
    <t>PRERANA Post Matric Scholarship for ST/SC/OBC/SEBC/EBC Communities, Odisha</t>
  </si>
  <si>
    <t>Prime Minister Special Scholarship Scheme (PMSSS), J&amp;K</t>
  </si>
  <si>
    <t>Prime Minister’s Research Fellowship (PMRF)</t>
  </si>
  <si>
    <t>Prime Minister’s Scholarship Scheme for Central Armed Police Forces and Assam Rifles</t>
  </si>
  <si>
    <t>R D Sethna Loan Scholarship</t>
  </si>
  <si>
    <t>Rajarshi Shahu Maharaj Scholarship, Maharashtra</t>
  </si>
  <si>
    <t>Rajasthan Yuva Vikas Prerak Internship Program (RYVP)</t>
  </si>
  <si>
    <t>Ramanujan Fellowship (Science and Engineering Research Board)</t>
  </si>
  <si>
    <t>RGIPT M. Tech Fellowship</t>
  </si>
  <si>
    <t>RWTH International Academy – Women in Engineering Scholarship</t>
  </si>
  <si>
    <t>Ryan Merit cum Means Scholarship</t>
  </si>
  <si>
    <t>S.N. Bose Scholars Program</t>
  </si>
  <si>
    <t>Sahitya Akademi Yuva Puraskar</t>
  </si>
  <si>
    <t>Sahu Jain Trust Loan Scholarship</t>
  </si>
  <si>
    <t>Sanskrit Scholarship (SSE), Kerala</t>
  </si>
  <si>
    <t>Santoor Women’s Scholarship</t>
  </si>
  <si>
    <t>Schindler Igniting Minds Scholarship Program</t>
  </si>
  <si>
    <t>Scholarships for Top Class Education for Students with Disabilities</t>
  </si>
  <si>
    <t>Scholarships to study online at University of South Wales</t>
  </si>
  <si>
    <t>SHDF Scholarships</t>
  </si>
  <si>
    <t>Shiv Nadar University Scholarship</t>
  </si>
  <si>
    <t>Shri. R.N. Lakshmipathi and Smt. Nagarathnamma, Gauribidanur Merit Scholarship , Karnataka</t>
  </si>
  <si>
    <t>Shubh Aarambh Scholarship</t>
  </si>
  <si>
    <t>SIA Youth Scholarship in Singapore</t>
  </si>
  <si>
    <t>Siemens Scholarship Program</t>
  </si>
  <si>
    <t>Siksha ‘O’ Anusandhan Admission Test (SAAT)</t>
  </si>
  <si>
    <t>Sitaram Jindal Foundation Scholarship</t>
  </si>
  <si>
    <t>SOF Scholarship of Excellence in English (S.E.E)</t>
  </si>
  <si>
    <t>South Indian Bank (SIB) Scholarship Scheme</t>
  </si>
  <si>
    <t>State Government Open Merit Scholarship, Maharashtra</t>
  </si>
  <si>
    <t>State Merit Scholarship, Kerala</t>
  </si>
  <si>
    <t>Strathclyde Business School Dean’s Excellence Awards</t>
  </si>
  <si>
    <t>Suvarna Jubilee Merit Scholarship, Kerala</t>
  </si>
  <si>
    <t>Swami Dayanand Education Foundation Merit-cum-Means Scholarships</t>
  </si>
  <si>
    <t>Swami Vivekananda Merit Cum Means Scholarship for Minorities (West Bengal)</t>
  </si>
  <si>
    <t>Tata Housing Scholarships for Meritorious Girl Students</t>
  </si>
  <si>
    <t>Technical Education Scholarships for PG/Degree/Engineering Courses, Himachal Pradesh</t>
  </si>
  <si>
    <t>Technip India Scholarship Program for Engineering Students</t>
  </si>
  <si>
    <t>The Hindu Playwright Award</t>
  </si>
  <si>
    <t>Toto Music Award</t>
  </si>
  <si>
    <t>Tripura Post Matric Scholarship for OBC Students</t>
  </si>
  <si>
    <t>Tripura Post Matric Scholarship for SC Students</t>
  </si>
  <si>
    <t>Tuition Exam Fee (Freeship), Maharashtra</t>
  </si>
  <si>
    <t>Tuition Fees and Examination Fees to O.B.C. Students, Maharashtra</t>
  </si>
  <si>
    <t>UGAM – Legrand Scholarship Program</t>
  </si>
  <si>
    <t>UNICAF Earn a Level 6 Diploma in Accounting and Financial Management</t>
  </si>
  <si>
    <t>University of Strathclyde International Undergraduate Scholarship</t>
  </si>
  <si>
    <t>University of Strathclyde-Faculty of Science Undergraduate Elite Scholarships</t>
  </si>
  <si>
    <t>UQ Future Students Undergraduate Scholarship for High Achievers - India</t>
  </si>
  <si>
    <t>Vasantrao Naik Merit Awards to the VJNT students, Maharashtra</t>
  </si>
  <si>
    <t>Vel Tech Mahatma Gandhi National Merit Scholarship</t>
  </si>
  <si>
    <t>Vidyadhan Scholarship Program</t>
  </si>
  <si>
    <t>Vidyasaarathi-SNL Bearings Scholarship (B.E/B. Tech)</t>
  </si>
  <si>
    <t>West Bengal Post-Matric Scholarship for SC/ST/OBC</t>
  </si>
  <si>
    <t>Yashad-Sumedha Scholarship Programme</t>
  </si>
  <si>
    <t>Young Artistes Scholarship</t>
  </si>
  <si>
    <t>Applicable For</t>
  </si>
  <si>
    <t>Application record</t>
  </si>
  <si>
    <t>Remark</t>
  </si>
  <si>
    <t>Professionals working in Engineering profession in public funded institutions</t>
  </si>
  <si>
    <t>Class 12 passed students</t>
  </si>
  <si>
    <t>Bachelor's and Master's degree students</t>
  </si>
  <si>
    <t>Engineering students (girls)</t>
  </si>
  <si>
    <t>Engineering students</t>
  </si>
  <si>
    <t>Masters</t>
  </si>
  <si>
    <t>Medical Students</t>
  </si>
  <si>
    <t>Students of class 1 to 10th</t>
  </si>
  <si>
    <t>Up to Class 12</t>
  </si>
  <si>
    <t>Class 10th passed students</t>
  </si>
  <si>
    <t>Students of class 1st to 6th</t>
  </si>
  <si>
    <t>Alumni or current students at ACU</t>
  </si>
  <si>
    <t>Students of class 7th to 10th</t>
  </si>
  <si>
    <t>Aged 18-30</t>
  </si>
  <si>
    <t>Bachelors</t>
  </si>
  <si>
    <t>Comic creators</t>
  </si>
  <si>
    <t>Students in the age group of 10-14 years</t>
  </si>
  <si>
    <t>Class 12th passed or appearing students</t>
  </si>
  <si>
    <t>Bachelors, Masters</t>
  </si>
  <si>
    <t>Class 12th passed students</t>
  </si>
  <si>
    <t>A team of two B.Sc./B. Tech. students, more than one team per college is allowed</t>
  </si>
  <si>
    <t>Students studying in class 6 to class 12</t>
  </si>
  <si>
    <t>MBBS, B.E/B.Tech, B.Sc(Agri/Nursing) MBA Students</t>
  </si>
  <si>
    <t>Young artists (age 18 to 35 years)</t>
  </si>
  <si>
    <t>Students enrolling in BE/B.Tech and MBBS degree program</t>
  </si>
  <si>
    <t>B.Tech, Integrated 5-Yr Dual-Degree M.Tech and MBBS</t>
  </si>
  <si>
    <t>1st year students of BE/B.Tech and MBBS degree program</t>
  </si>
  <si>
    <t>Age group 11-17 years</t>
  </si>
  <si>
    <t>School students</t>
  </si>
  <si>
    <t>A prospective leader, work in sector as politics, economics, the media, administration and culture</t>
  </si>
  <si>
    <t>Age 13 to 18</t>
  </si>
  <si>
    <t>Academic/research position holder</t>
  </si>
  <si>
    <t>1st year M.Sc (Bio, Phy, Chem and Maths) or 3rd year B.E./B.Tech</t>
  </si>
  <si>
    <t>Any citizen of India</t>
  </si>
  <si>
    <t>Graduate or in final year.</t>
  </si>
  <si>
    <t>Engineering students pursuing undergraduate, postgraduate and Doctoral degrees</t>
  </si>
  <si>
    <t>At least 20 years of teaching experience at undergraduate and post graduate levels</t>
  </si>
  <si>
    <t>Young vocal musicians</t>
  </si>
  <si>
    <t>Students pursuing graduation</t>
  </si>
  <si>
    <t>1st year graduation (Science)</t>
  </si>
  <si>
    <t>Any girl between 17 to 23 years age</t>
  </si>
  <si>
    <t>Citizens up to 68 years of age</t>
  </si>
  <si>
    <t>Class 10th Passed</t>
  </si>
  <si>
    <t>Age between 40 to 50 years</t>
  </si>
  <si>
    <t>Students enrolled in class 9 to 12, Graduation, Postgraduation</t>
  </si>
  <si>
    <t>B.E./B.Tech/MSc degree holders</t>
  </si>
  <si>
    <t>Class 11th to graduation</t>
  </si>
  <si>
    <t>Young artists of age 25 to 40 years</t>
  </si>
  <si>
    <t>Class 11, 12 (PCM/B), BSc 1st year, Int. MSc 1st year students</t>
  </si>
  <si>
    <t>B.Tech/B.E not more than 23 years of age</t>
  </si>
  <si>
    <t>B.E/B.Tech with a maximum age of 23 year and qualified in GATE</t>
  </si>
  <si>
    <t>21 years to 35 years artists.</t>
  </si>
  <si>
    <t>1st year undergraduates</t>
  </si>
  <si>
    <t>LLM</t>
  </si>
  <si>
    <t>All Indian Citizens</t>
  </si>
  <si>
    <t>Class 12th passed students with minimum 80% marks in qualifying exam</t>
  </si>
  <si>
    <t>Young artists from any genre of Indian Classical Music or Dance</t>
  </si>
  <si>
    <t>Young musicians of 25 to 40 years</t>
  </si>
  <si>
    <t>B.Tech. and M.Tech. degree holders</t>
  </si>
  <si>
    <t>Above 18 years</t>
  </si>
  <si>
    <t>Class 10th passed students with at least 80% marks</t>
  </si>
  <si>
    <t>Students pursuing Professional and technical course</t>
  </si>
  <si>
    <t>Above age 16 years</t>
  </si>
  <si>
    <t>Age Group of 13 to 22 yrs.</t>
  </si>
  <si>
    <t>Age between 30-40 years, Ph.D. degree holders having three years teaching experience</t>
  </si>
  <si>
    <t>Class 11th to Post Graduate</t>
  </si>
  <si>
    <t>B.E/B.Tech Final Year Students</t>
  </si>
  <si>
    <t>Students between 5 to 18 years of age</t>
  </si>
  <si>
    <t>All School Teachers</t>
  </si>
  <si>
    <t>Class 9th students</t>
  </si>
  <si>
    <t>Students of class 6th to 12th</t>
  </si>
  <si>
    <t>Age group 12 to 25 years</t>
  </si>
  <si>
    <t>Graduates in Mathematics or students enrolled/pursuing PG in Mathematics</t>
  </si>
  <si>
    <t>B.A/ B.sc/ M.A/ M.Sc(mathematics)</t>
  </si>
  <si>
    <t>Any Indian citizen of above 18 years of age</t>
  </si>
  <si>
    <t>Scholars and writers</t>
  </si>
  <si>
    <t>Aged 18 to 45 years</t>
  </si>
  <si>
    <t>Class 12th passed and graduate students</t>
  </si>
  <si>
    <t>Students who’ve passed class 12th</t>
  </si>
  <si>
    <t>1st year graduates &amp; post graduates</t>
  </si>
  <si>
    <t>B.Tech or M.Tech degree holders</t>
  </si>
  <si>
    <t>B. Tech/BE</t>
  </si>
  <si>
    <t>B.Tech-M.Tech/M.Sc-M.Tech/M.Sc</t>
  </si>
  <si>
    <t>Students studying in Class 8 to 12</t>
  </si>
  <si>
    <t>Young Indian authors of age 35 years or below</t>
  </si>
  <si>
    <t>Class 10th/12th passed students pursuing diploma courses</t>
  </si>
  <si>
    <t>Age group 11 to 19 years</t>
  </si>
  <si>
    <t>Age upto 15 years</t>
  </si>
  <si>
    <t>B.Sc. (Agri./Agri. Biotech.) girl students</t>
  </si>
  <si>
    <t>Students of class 1 to 10</t>
  </si>
  <si>
    <t>All entrants must be over 18 yrs</t>
  </si>
  <si>
    <t>Age between 12-19</t>
  </si>
  <si>
    <t>Undergraduates belonging to economically backward families of Kerala</t>
  </si>
  <si>
    <t>B.Tech/B.E, M.B.B.S, B.D.S, B.A.M.S, B.H.M.S, B.V.M.S, B.Pharm, B.Sc (Nursing), BSc (Agri) and other regular three years</t>
  </si>
  <si>
    <t>Class 11 onwards students</t>
  </si>
  <si>
    <t>Girl students enrolled in Engineering Programmes (3rd year)</t>
  </si>
  <si>
    <t>Above 18 years of age</t>
  </si>
  <si>
    <t>Artists over the age of 60 years</t>
  </si>
  <si>
    <t>Playwrights above the age of 18 years</t>
  </si>
  <si>
    <t>Young and talented applicants under 30 years of age</t>
  </si>
  <si>
    <t>A first degree in law or equivalent</t>
  </si>
  <si>
    <t>Class 12th passed</t>
  </si>
  <si>
    <t>B. Tech 1st semester students</t>
  </si>
  <si>
    <t>B.Tech 1st semester (2019-20) students</t>
  </si>
  <si>
    <t>All photographers, including professionals as well as amateurs</t>
  </si>
  <si>
    <t>Young artists between 18 and 25 years of age</t>
  </si>
  <si>
    <t>June to December</t>
  </si>
  <si>
    <t>July to August</t>
  </si>
  <si>
    <t>July to October</t>
  </si>
  <si>
    <t>Variable awards</t>
  </si>
  <si>
    <t>Runs all through the year</t>
  </si>
  <si>
    <t>June to August</t>
  </si>
  <si>
    <t>Partial Funding</t>
  </si>
  <si>
    <t>April to June</t>
  </si>
  <si>
    <t>February to March</t>
  </si>
  <si>
    <t>November to January</t>
  </si>
  <si>
    <t>January to March</t>
  </si>
  <si>
    <t>December to February</t>
  </si>
  <si>
    <t>December to January</t>
  </si>
  <si>
    <t>July to September</t>
  </si>
  <si>
    <t>Financial assistance on monthly basis</t>
  </si>
  <si>
    <t>May to July</t>
  </si>
  <si>
    <t>June and November</t>
  </si>
  <si>
    <t>September to October</t>
  </si>
  <si>
    <t>March to April</t>
  </si>
  <si>
    <t>Full Funding</t>
  </si>
  <si>
    <t>January to February</t>
  </si>
  <si>
    <t>April to July</t>
  </si>
  <si>
    <t>Till December</t>
  </si>
  <si>
    <t>April to May</t>
  </si>
  <si>
    <t>October to December</t>
  </si>
  <si>
    <t>April to August</t>
  </si>
  <si>
    <t>September to November</t>
  </si>
  <si>
    <t>September to December</t>
  </si>
  <si>
    <t>June to July</t>
  </si>
  <si>
    <t>INR 32 Lakhs</t>
  </si>
  <si>
    <t>Only tuition fees</t>
  </si>
  <si>
    <t>March to June</t>
  </si>
  <si>
    <t>June to January</t>
  </si>
  <si>
    <t>June to October</t>
  </si>
  <si>
    <t>August to September</t>
  </si>
  <si>
    <t>December to April</t>
  </si>
  <si>
    <t>August to October</t>
  </si>
  <si>
    <t>April to September</t>
  </si>
  <si>
    <t>July to November</t>
  </si>
  <si>
    <t>June to September</t>
  </si>
  <si>
    <t>May to August</t>
  </si>
  <si>
    <t>March to May</t>
  </si>
  <si>
    <t>February to April</t>
  </si>
  <si>
    <t>Runs throughout the year</t>
  </si>
  <si>
    <t>July to December</t>
  </si>
  <si>
    <t>INR 20,000 (one time - fixed)</t>
  </si>
  <si>
    <t>Need based</t>
  </si>
  <si>
    <t>Academia Higher Education College, Slovenia, EU</t>
  </si>
  <si>
    <t>Adobe-India</t>
  </si>
  <si>
    <t>State Government Scholarship</t>
  </si>
  <si>
    <t>All India Council for Technical Education (AICTE)</t>
  </si>
  <si>
    <t>Ajmal Foundation</t>
  </si>
  <si>
    <t>DLF India Foundation</t>
  </si>
  <si>
    <t>Brainzstorm Technical Excellence Pvt. Ltd.</t>
  </si>
  <si>
    <t>Brainztorm Technical Excellence Pvt. Ltd.</t>
  </si>
  <si>
    <t>Amity Global Institute, Singapore</t>
  </si>
  <si>
    <t>Amrita Vishwa Vidyapeetham</t>
  </si>
  <si>
    <t>Academy of Engineering Competence</t>
  </si>
  <si>
    <t>Sant Nirankari Mandal</t>
  </si>
  <si>
    <t>Bath Spa University (BSU), UK</t>
  </si>
  <si>
    <t>University of Strathclyde Glasgow, Scotland, UK</t>
  </si>
  <si>
    <t>Jagadis Bose National Science Talent Search (JBNSTS), Kolkata</t>
  </si>
  <si>
    <t>Merit cum Means</t>
  </si>
  <si>
    <t>Scholarship up to USD 10,000</t>
  </si>
  <si>
    <t>Social Justice and Special Assistance Department, Government of Maharashtra</t>
  </si>
  <si>
    <t>Brazilian Government, Brazil</t>
  </si>
  <si>
    <t>GREAT Campaign and the UK higher education institutions, UK</t>
  </si>
  <si>
    <t>Multiple awards</t>
  </si>
  <si>
    <t>Ministry of Human Resource Development, Government of India</t>
  </si>
  <si>
    <t>Chandigarh University</t>
  </si>
  <si>
    <t>Colgate-Palmolive (India) Ltd</t>
  </si>
  <si>
    <t>College of Law and Business (CLB), Israel</t>
  </si>
  <si>
    <t>Talent Based</t>
  </si>
  <si>
    <t>Deakin University, Australia</t>
  </si>
  <si>
    <t>Ministry of Electronics and Information Technology, Government of India</t>
  </si>
  <si>
    <t>Cash prize of Rs 1000 to 3000, trophy, and certificate</t>
  </si>
  <si>
    <t>Dr Reddy’s Foundation</t>
  </si>
  <si>
    <t>Texas Instruments in collaboration with Department of Science and Technology (DST)</t>
  </si>
  <si>
    <t>KPIT</t>
  </si>
  <si>
    <t>Ministry of Labour and Employment, Government of India</t>
  </si>
  <si>
    <t>Foundation for Excellence</t>
  </si>
  <si>
    <t>Financial and other assistance</t>
  </si>
  <si>
    <t>Award</t>
  </si>
  <si>
    <t>G.P. Birla Educational Foundation</t>
  </si>
  <si>
    <t>Gaurav Foundation</t>
  </si>
  <si>
    <t>Upto  Euro 2,750, financial support for items, travel expenses or a German language course</t>
  </si>
  <si>
    <t>GITAM University</t>
  </si>
  <si>
    <t>Multiple benefits</t>
  </si>
  <si>
    <t>Upto USD 50000 and Science Tours</t>
  </si>
  <si>
    <t>Vellore Institute of Technology</t>
  </si>
  <si>
    <t>Harish-Chandra Research Institute, Allahabad</t>
  </si>
  <si>
    <t>HDFC Bank</t>
  </si>
  <si>
    <t>Equipment, consumables, contingency, travel, overhead grants</t>
  </si>
  <si>
    <t>Indian Institute of Science, Bangalore</t>
  </si>
  <si>
    <t>IIT Bombay-Monash Research Academy</t>
  </si>
  <si>
    <t>Prizes up to INR 50,000</t>
  </si>
  <si>
    <t>GATEFORUM Engineering Success</t>
  </si>
  <si>
    <t>Travel expense, cash prize of Rs 50,000, grant up to 20,000</t>
  </si>
  <si>
    <t>Department of Science and Technology (DST), Government of India and Indo-U.S. Science &amp; Technology Forum (IUSSTF)</t>
  </si>
  <si>
    <t>Cash prize of Rs 25000/-</t>
  </si>
  <si>
    <t>INR 1,00,000 per month, secretarial assistance, travelling and other contingencies of INR 75000 per annum</t>
  </si>
  <si>
    <t>Stipend worth INR 31,000 plus HRA</t>
  </si>
  <si>
    <t>Lourdes Matha College of Science &amp; Technology</t>
  </si>
  <si>
    <t>Colgate-Palmolive (India) Ltd.</t>
  </si>
  <si>
    <t>Indo-US Science and Technology Forum (IUSSTF)</t>
  </si>
  <si>
    <t>Exam, Need based</t>
  </si>
  <si>
    <t>Stipend INR 13,400 pm, sponsorship, tuition fee</t>
  </si>
  <si>
    <t>L’Oréal India</t>
  </si>
  <si>
    <t>Stipend of Rs 13400 pm</t>
  </si>
  <si>
    <t>Lakshmi Mittal South Asia Institute at Harvard University, United States</t>
  </si>
  <si>
    <t>Lancaster University Management School, Scotland, UK</t>
  </si>
  <si>
    <t>Cash Prize of INR 1,00,000 (One Lakh rupees)</t>
  </si>
  <si>
    <t>Marubeni India Private Limited</t>
  </si>
  <si>
    <t>Stipend for 1 year</t>
  </si>
  <si>
    <t>Up to EUR 5000</t>
  </si>
  <si>
    <t>Up to $ 100000</t>
  </si>
  <si>
    <t>Travel fare and invitation to Orlando, Florida, Cash Prize of Rs 30,000, cup, medal, certificate</t>
  </si>
  <si>
    <t>£ 29,944.85/- per annum</t>
  </si>
  <si>
    <t>Scholarship award up to INR 1 Lakh</t>
  </si>
  <si>
    <t>National Institute of Science Education and Research (NISER)</t>
  </si>
  <si>
    <t>Ministry of Tribal Affairs, Government of India</t>
  </si>
  <si>
    <t>ICT Kit, a laptop and a commendation certificate</t>
  </si>
  <si>
    <t>National Institute of Career Education Foundation</t>
  </si>
  <si>
    <t>Publication on the cover page, certificate, membership, publication on website</t>
  </si>
  <si>
    <t>S. U. Foundation of
India</t>
  </si>
  <si>
    <t>Rs 6000 p.m</t>
  </si>
  <si>
    <t>Up to INR 100000</t>
  </si>
  <si>
    <t>Up to 30% off on tuition fee</t>
  </si>
  <si>
    <t>Noida International University</t>
  </si>
  <si>
    <t>Cummins India Foundation</t>
  </si>
  <si>
    <t>OIL India Limited</t>
  </si>
  <si>
    <t>O.P Jindal Group</t>
  </si>
  <si>
    <t>Stipend of up to INR 25000 per month</t>
  </si>
  <si>
    <t>Padala Charitable Trust</t>
  </si>
  <si>
    <t>Ministry of Social Justice and Empowerment, Government of India</t>
  </si>
  <si>
    <t>Ministry of Minority Affairs, Government of India</t>
  </si>
  <si>
    <t>Social Welfare Department, Government of Uttar Pradesh.</t>
  </si>
  <si>
    <t>Department of Higher and Technical Education, Government of Nagaland</t>
  </si>
  <si>
    <t>Government of Odisha</t>
  </si>
  <si>
    <t>Ministry of Home Affairs, Government of India</t>
  </si>
  <si>
    <t>R. D. Sethna Scholarship Fund</t>
  </si>
  <si>
    <t>Social Welfare Commissionerate Office, Government of Maharashtra</t>
  </si>
  <si>
    <t>Government of Rajasthan</t>
  </si>
  <si>
    <t>Science &amp; Engineering Research Board</t>
  </si>
  <si>
    <t>Stipend of up to INR 28,000 per month</t>
  </si>
  <si>
    <t>RWTH Aachen University, Denmark</t>
  </si>
  <si>
    <t>SERB, DST (Govt. of India), IUSSTF &amp; WINStep Forward</t>
  </si>
  <si>
    <t>Sahu Jain Trust</t>
  </si>
  <si>
    <t>Wipro Consumer Care and Wipro Cares</t>
  </si>
  <si>
    <t>University of South Wales in partnership with UNICEF, UK</t>
  </si>
  <si>
    <t>Cash award of 500 USD</t>
  </si>
  <si>
    <t>President of India Gold Medal, Shankar Award, Jawaharlal Nehru Memorial Gold Medal, Prizes</t>
  </si>
  <si>
    <t>Nishkam Sikh Welfare Council, New Delhi in association with Sikh Human Development Foundation, U.S.A (SHDF)</t>
  </si>
  <si>
    <t>Shiv Nadar University</t>
  </si>
  <si>
    <t>INR 875 per month</t>
  </si>
  <si>
    <t>Siemens India</t>
  </si>
  <si>
    <t>Siksha ‘O’ Anusandhan University</t>
  </si>
  <si>
    <t>Sitaram Jindal Foundation</t>
  </si>
  <si>
    <t>Title of “Sony World Photography Awards Photographer of The Year", Cash Prize of $25,000</t>
  </si>
  <si>
    <t>Flights and accommodation in London</t>
  </si>
  <si>
    <t>Full tuition fee and monthly allowance of Rs 4000</t>
  </si>
  <si>
    <t>Swami Dayanand Education Foundation</t>
  </si>
  <si>
    <t>Tata Housing</t>
  </si>
  <si>
    <t>Directorate of Technical Education, Vocational &amp; Industrial Training, Government of Himachal Pradesh</t>
  </si>
  <si>
    <t>Stipend, travel (to and from), visa, room, board, food, conference pass.</t>
  </si>
  <si>
    <t>Cash award of Rs 200000</t>
  </si>
  <si>
    <t>LL.M. scholarship</t>
  </si>
  <si>
    <t>10 days free trip to Tokyo, airfare, travel insurance</t>
  </si>
  <si>
    <t>Legrand India</t>
  </si>
  <si>
    <t>UNICAF University, UK</t>
  </si>
  <si>
    <t>Vidyasaarathi in association with the SNL Bearings Ltd</t>
  </si>
  <si>
    <t>INR 20,000 per annum</t>
  </si>
  <si>
    <t>Cash prizes up to INR 100,000</t>
  </si>
  <si>
    <t>Scholarship name</t>
  </si>
  <si>
    <t>about</t>
  </si>
  <si>
    <t>inaehq@inae.in</t>
  </si>
  <si>
    <t>Official Website</t>
  </si>
  <si>
    <t>Documents</t>
  </si>
  <si>
    <t>Address</t>
  </si>
  <si>
    <t>The Abdul Kalam Technology Innovation National Fellowship is instituted by the Indian National Academy of Engineering (INAE) in collaboration with the Department of Science and Technology (DST), Government of India. It aims to recognize, encourage, and support outstanding engineers for their innovation and contributions to technological advancements. Named after Dr. A.P.J. Abdul Kalam, India’s former President and a celebrated scientist, this fellowship targets engineers working in public-funded institutions who have shown remarkable potential in translating scientific knowledge into technologies that benefit society. This program provides them with the financial backing to continue their research and make further contributions to India's scientific and technological landscape.</t>
  </si>
  <si>
    <t>The Abdul Kalam Technology Innovation National Fellowship is awarded to engineers to foster innovation in the technological field. It is open to Indian nationals working in public-funded research institutions, universities, or organizations engaged in research and development. The fellowship, named after Dr. A.P.J. Abdul Kalam, honors individuals who have shown exceptional potential to create impactful technologies that address India’s socio-economic needs. Selected fellows receive financial support for their research and development work, which includes a fellowship of INR 25,000 per month and a contingency grant of INR 15 lakh per year for project work. The tenure of the fellowship is initially for three years, extendable by two more years. The program recognizes not just innovation but also translational research that bridges the gap between science and its applications in the real world. Fellows are also encouraged to publish and present their work in relevant scientific forums.</t>
  </si>
  <si>
    <t>https://www.inae.in/research-innovation/abdul-kalam-technology-innovation-national-fellowship/</t>
  </si>
  <si>
    <t>1. Download the application form from the official website.
2.Complete the form with all the necessary details, including the candidate's personal information, professional background, and a summary of the proposed research project.
3. Attach the nomination letter from the head of the institution or a senior colleague, along with supporting documents.
4. Submit the completed application to INAE before the deadline.
5. Await review and notification from the selection committee.</t>
  </si>
  <si>
    <t>1. Completed application form.
2. Curriculum Vitae (CV) of the applicant.
3. Nomination letter from the Head of Institution or a senior colleague.
4. Detailed proposal of the research project.
5. List of publications and patents (if any).
6. Relevant certificates and credentials.</t>
  </si>
  <si>
    <t>https://youtu.be/H9uE3yxnbLM?si=H8ER0rCLdVYfJepM</t>
  </si>
  <si>
    <t>011-26582475</t>
  </si>
  <si>
    <t>Indian National Academy of Engineering
Ground Floor, Block-II, Technology Bhavan, New Mehrauli Road, New Delhi-110016 (India)</t>
  </si>
  <si>
    <t>The Academia Higher Education College Meritorious Scholarship is a prestigious program offered by Academia, a leading private higher education institution in Slovenia. This scholarship aims to attract and support outstanding international students who have demonstrated academic excellence and leadership potential. Situated in the heart of the European Union, Academia fosters a rich multicultural environment, providing students with an excellent opportunity to pursue higher education in various fields such as business, information technology, and engineering. The scholarship is available to meritorious students enrolling in bachelor’s or master’s degree programs, helping to reduce financial barriers for deserving candidates. The institution is recognized for its hands-on approach to learning and collaboration with industries, ensuring that students gain real-world experience during their studies.</t>
  </si>
  <si>
    <t>The Academia Higher Education College Meritorious Scholarship is designed to reward exceptional academic performance and provide opportunities for students to pursue higher education at one of Slovenia's most renowned private colleges. Open to both EU and non-EU students, the scholarship covers up to 50% of tuition fees for bachelor's and master's degree programs across various disciplines such as business, computer science, and engineering. Candidates are selected based on their academic achievements, leadership skills, and potential to contribute to the academic community. Applicants are required to submit a detailed application, which includes academic transcripts, letters of recommendation, and a personal statement outlining their educational and career goals. Scholarship recipients also benefit from Academia’s strong industry connections, which provide practical learning experiences through internships and project-based courses. The college’s innovative curriculum and commitment to student success make this scholarship an excellent opportunity for talented individuals aiming to build a career in a competitive global market.</t>
  </si>
  <si>
    <t>https://www.academia.si/en</t>
  </si>
  <si>
    <t>1. Visit the official website and navigate to the Scholarships section.
2. Complete the online scholarship application form.
3. Submit academic transcripts from your previous educational institutions.
4. Provide two letters of recommendation from professors or professional references.
5. Write a personal statement (500-800 words) outlining your academic achievements, leadership experience, and career aspirations.
6. Submit your application before the scholarship deadline.
7. Await the decision from the scholarship committee, typically within a few weeks of the application deadline.</t>
  </si>
  <si>
    <t>1. Completed scholarship application form.
2. Academic transcripts from previous institutions.
3. Two letters of recommendation.
4. Personal statement.
5. Proof of English language proficiency (if applicable).
6. Copy of passport or national ID.</t>
  </si>
  <si>
    <t>NA</t>
  </si>
  <si>
    <t>Academia Higher Education College,
Glavni trg 17b,
2000 Maribor, Slovenia
EU</t>
  </si>
  <si>
    <t>admissions@academia.si</t>
  </si>
  <si>
    <t>The AcSIR Dr. APJ Abdul Kalam Summer Training Program is an esteemed initiative by the Academy of Scientific and Innovative Research (AcSIR), aimed at nurturing young minds and inspiring them to pursue careers in science and research. This program is dedicated to the memory of Dr. APJ Abdul Kalam, India’s former President and renowned scientist, who was a staunch advocate for igniting young talents in the field of science. The training program provides students from across India an opportunity to work in prestigious CSIR laboratories, gaining hands-on research experience under the mentorship of top scientists. The initiative encourages undergraduates and postgraduates with a passion for scientific innovation to apply, fostering a culture of learning and discovery.</t>
  </si>
  <si>
    <t>The AcSIR Dr. APJ Abdul Kalam Summer Training Program offers undergraduate and postgraduate students a unique opportunity to immerse themselves in cutting-edge scientific research across various disciplines. Hosted by the Academy of Scientific and Innovative Research (AcSIR) and conducted at various Council of Scientific &amp; Industrial Research (CSIR) labs across India, this summer program is designed to provide real-world research experience to students interested in science, engineering, and technology. Participants are selected based on their academic performance, motivation, and potential for research. During the training, students work on live projects under the supervision of senior researchers and scientists, contributing to ongoing research and technological advancements. The program spans six to eight weeks and includes interactions with accomplished scientists, lectures, workshops, and lab work. Through this initiative, students gain invaluable experience, enhancing their understanding of the research process and boosting their scientific and technical skills. This exposure helps students build strong foundations for their future careers in research or academia.</t>
  </si>
  <si>
    <t>https://www.vidhyaa.in/scholarship/acsir-dr-apj-abdul-kalam-summer-training-program</t>
  </si>
  <si>
    <t>1. Visit the official AcSIR website and navigate to the "Dr. APJ Abdul Kalam Summer Training Program" section.
2. Complete the online application form with personal and academic details.
3. Submit academic transcripts from your current institution.
4. Write a statement of purpose (SOP) explaining why you want to participate in the program and how it aligns with your career goals.
5. Upload a recommendation letter from your academic mentor or professor.
6. Submit the application before the deadline and wait for the selection results.</t>
  </si>
  <si>
    <t>1. Completed online application form.
2. Academic transcripts.
3. Statement of Purpose (SOP).
4. Recommendation letter from a faculty member.
5. Proof of current enrollment in a degree program.
6. Valid ID proof (Aadhar, passport, etc.).</t>
  </si>
  <si>
    <t>Possessing bachelor's and master’s degrees in Science</t>
  </si>
  <si>
    <t>https://youtu.be/akbzXKUf9bQ?si=2ogYVeNHXvG_vXUL</t>
  </si>
  <si>
    <t>Academy of Scientific and Innovative Research (AcSIR),
CSIR-HQ, Anusandhan Bhawan,
2 Rafi Marg, New Delhi – 110001, India</t>
  </si>
  <si>
    <t>info@vidhyaa.in</t>
  </si>
  <si>
    <t>The Adobe India Women-in-Technology Scholarship is an initiative by Adobe to recognize and support outstanding women students pursuing careers in technology. The program aims to promote gender diversity in the tech industry by providing financial and academic support to women enrolled in undergraduate or master’s programs in computer science, engineering, or related fields. This scholarship empowers women to excel in their studies and gain valuable industry exposure through mentoring and networking opportunities with professionals at Adobe. In addition to the financial award, recipients get an opportunity to intern at Adobe, gaining hands-on experience in cutting-edge technology development. This initiative is part of Adobe’s broader mission to foster an inclusive and diverse tech workforce.</t>
  </si>
  <si>
    <t>The Adobe India Women-in-Technology Scholarship is designed to encourage and empower women pursuing degrees in technical fields such as computer science, software engineering, data science, and related disciplines. Open to female students studying in India, the scholarship provides a comprehensive support package, which includes full academic funding for one year, an opportunity to intern at Adobe, and the chance to receive guidance from experienced Adobe mentors. Candidates are selected based on their academic performance, leadership potential, and commitment to technological innovation. In addition to the financial award, the scholarship aims to bridge the gender gap in technology by providing recipients with opportunities to work on real-world projects, participate in workshops, and network with industry professionals. This initiative underscores Adobe’s commitment to creating a more equitable tech environment by promoting female representation in the tech industry, ensuring that women have the resources and opportunities to thrive.</t>
  </si>
  <si>
    <t>https://research.adobe.com/adobe-india-women-in-technology-scholarship/</t>
  </si>
  <si>
    <t>1. Visit the official Adobe Research website and navigate to the scholarship page.
2. Create an account and fill out the online application form with personal and academic details.
3. Attach your resume, academic transcripts, and a 500-word personal statement on why you should be considered for the scholarship.
4. Submit a project or research paper showcasing your technical skills and innovation.
5. Upload a letter of recommendation from a professor or academic mentor.
6. Submit the completed application before the deadline and await the review process.</t>
  </si>
  <si>
    <t>1. Completed application form.
2. Resume detailing academic and extracurricular achievements.
3. Academic transcripts from the current institution.
4. A personal statement (500 words) explaining your motivation and qualifications.
5. A project or technical paper that demonstrates your technical abilities.
6. One letter of recommendation from a faculty member or industry professional.</t>
  </si>
  <si>
    <t>https://youtu.be/eF6ek2j5gfE?si=Io8z_lq4ukVnIWua</t>
  </si>
  <si>
    <t>91-120-2444711</t>
  </si>
  <si>
    <t>Adobe Systems India Pvt Ltd,
Adobe Towers,
Noida, Uttar Pradesh – 201301, India</t>
  </si>
  <si>
    <t>wit-scholarship@adobe.com</t>
  </si>
  <si>
    <t>The Ahindi Bhashik Scholarship is an initiative by the Government of Maharashtra aimed at supporting students from the Hindi-speaking community in pursuing higher education. This scholarship seeks to promote educational advancement and ensure that deserving students have access to quality education, regardless of their financial background. It is specifically designed for students enrolled in professional and technical courses across various disciplines in recognized institutions within Maharashtra. By providing financial assistance, the scholarship aims to empower students to overcome economic barriers, encouraging them to excel in their academic pursuits and contribute positively to society.</t>
  </si>
  <si>
    <t>The Ahindi Bhashik Scholarship provides financial aid to Hindi-speaking students in Maharashtra to promote educational equity and support their academic goals. This scholarship is open to students pursuing undergraduate or postgraduate degrees in various fields, including engineering, medicine, management, and arts. The scholarship covers tuition fees and provides a monthly stipend to help students meet their educational expenses. The selection process is based on merit and financial need, ensuring that the most deserving candidates receive the support they require. Recipients of the scholarship are also encouraged to participate in workshops and training programs aimed at enhancing their skills and employability. This initiative not only helps reduce the financial burden on students but also fosters a sense of community among Hindi-speaking students in Maharashtra, creating opportunities for networking and collaboration.</t>
  </si>
  <si>
    <t>https://www.maharashtra.gov.in/</t>
  </si>
  <si>
    <t>1. Visit the official Maharashtra government scholarship portal.
2. Register for a new account or log in with your existing credentials.
3. Navigate to the Ahindi Bhashik Scholarship section.
4. Fill out the online application form with all required personal and educational details.
5. Upload necessary documents, including academic certificates and income proof.
6. Submit the application before the deadline.
7. Keep track of the application status through the portal.</t>
  </si>
  <si>
    <t>1. Completed online application form.
2. Academic certificates (10th, 12th, and current enrollment proof).
3. Income certificate or proof of family income.
4. Caste certificate (if applicable).
5. Passport-sized photograph.
6. Bank account details for scholarship disbursement.</t>
  </si>
  <si>
    <t>91-22-2262-1290</t>
  </si>
  <si>
    <t>Department of Higher Education,
Government of Maharashtra,
Mantralaya, Mumbai – 400032, India</t>
  </si>
  <si>
    <t>scholarship-maharashtra@maharashtra.gov.in</t>
  </si>
  <si>
    <t>The AICTE PG (GATE/GPAT) Scholarship is a financial assistance program offered by the All India Council for Technical Education (AICTE) to promote postgraduate education in engineering, technology, and pharmacy across India. This scholarship aims to support students who have qualified for the Graduate Aptitude Test in Engineering (GATE) or the Graduate Pharmacy Aptitude Test (GPAT). By providing financial aid, the scholarship encourages talented students to pursue their master's degrees without the burden of financial constraints. The AICTE PG Scholarship not only helps cover tuition fees but also provides a monthly stipend to support living expenses, ensuring that students can focus on their studies and research.</t>
  </si>
  <si>
    <t>The AICTE PG (GATE/GPAT) Scholarship provides significant financial support to postgraduate students who have successfully cleared GATE or GPAT. This scholarship is available to students enrolled in AICTE-approved institutions for M.Tech, M.E., and M.Pharm programs. It offers a monthly stipend, which helps cover living expenses, alongside tuition fee waivers or reductions. The selection process is based on GATE/GPAT scores, ensuring that only deserving candidates receive assistance. The initiative aims to enhance the quality of higher education in technical and pharmaceutical fields by encouraging talented individuals to pursue advanced studies and contribute to research and innovation in their respective disciplines. The scholarship not only alleviates the financial burden but also fosters a culture of excellence, motivating students to excel in their academic and professional pursuits.</t>
  </si>
  <si>
    <t>https://www.aicte-india.org/schemes/students-development-schemes/PG-Scholarship-Scheme/General-instruction</t>
  </si>
  <si>
    <t>1. Visit the official AICTE scholarship portal.
2. Register for a new account or log in if you already have one.
3. Navigate to the PG (GATE/GPAT) Scholarship section.
4. Complete the online application form with personal, academic, and GATE/GPAT details.
5. Upload required documents, including GATE/GPAT scorecard and admission letter.
6. Submit the application before the specified deadline.
7. Track the application status through the AICTE portal.</t>
  </si>
  <si>
    <t>1. Completed application form.
2. GATE/GPAT scorecard.
3. Admission letter from the AICTE-approved institution.
4. Academic transcripts from previous degrees.
5. Income certificate of the applicant’s family.
6. Passport-sized photograph.
7. Bank account details for scholarship disbursement.</t>
  </si>
  <si>
    <t>https://youtu.be/2vwWds-guTQ?si=imMS7PjRy4F2fvJ7</t>
  </si>
  <si>
    <t>91-11-2953-2488</t>
  </si>
  <si>
    <t>All India Council for Technical Education (AICTE),
Nelson Mandela Marg,
Vasant Kunj, New Delhi – 110070, India</t>
  </si>
  <si>
    <t>info@aicte-india.org</t>
  </si>
  <si>
    <t>The AICTE PG (GATE/GPAT) Scholarship for Indian Students is an initiative by the All India Council for Technical Education (AICTE) aimed at supporting talented students pursuing postgraduate degrees in engineering, technology, and pharmacy. This scholarship is specifically designed for students who have qualified for the Graduate Aptitude Test in Engineering (GATE) or the Graduate Pharmacy Aptitude Test (GPAT). By providing financial assistance, the scholarship encourages students to pursue higher education without the burden of financial constraints. The program aims to enhance the quality of education in technical and pharmaceutical fields while fostering research and innovation among postgraduate students.</t>
  </si>
  <si>
    <t>The AICTE PG (GATE/GPAT) Scholarship for Indian Students provides substantial financial support to deserving candidates enrolled in M.Tech, M.E., and M.Pharm programs at AICTE-approved institutions across India. Students who have qualified for GATE or GPAT are eligible to apply for this scholarship, which offers a monthly stipend to help cover living expenses and tuition fees. The scholarship promotes higher education in technical and pharmaceutical fields, ensuring that students can focus on their studies and research without worrying about financial burdens. The selection process is merit-based, considering the scores obtained in GATE or GPAT, thereby encouraging academic excellence among postgraduate students. By fostering a conducive environment for learning and innovation, this scholarship aims to contribute to the development of skilled professionals who can lead advancements in their respective fields.</t>
  </si>
  <si>
    <t>1. Visit the official AICTE scholarship portal.
2. Create an account or log in to your existing account.
3. Locate the PG (GATE/GPAT) Scholarship section on the portal.
4. Fill out the online application form with personal details, academic information, and GATE/GPAT scores.
5. Upload required documents, including your GATE/GPAT scorecard and admission letter from the AICTE-approved institution.
6. Review the application and submit it before the deadline.
7. Monitor your application status through the AICTE portal.</t>
  </si>
  <si>
    <t>1. Completed application form.
2. GATE/GPAT scorecard.
3. Admission letter from an AICTE-approved institution.
4. Academic transcripts of previous degrees.
5. Income certificate or proof of family income.
6. Passport-sized photograph.
7. Bank account details for scholarship disbursement.</t>
  </si>
  <si>
    <t>https://youtu.be/84wV9AYE1E4?si=nUwiiAdShafyAaeS</t>
  </si>
  <si>
    <t>The AICTE National Doctoral Fellowship Scheme is a prestigious initiative by the All India Council for Technical Education (AICTE) aimed at promoting research and innovation among doctoral students in India. This fellowship is designed to support candidates pursuing their Ph.D. in engineering, technology, management, and applied sciences at AICTE-approved institutions. By providing financial assistance, the scheme aims to enhance the quality of research and encourage talented individuals to contribute to advancements in their respective fields. The fellowship not only covers tuition fees but also provides a monthly stipend, enabling students to focus on their research without financial concerns. Through this initiative, AICTE seeks to nurture a culture of academic excellence and foster a strong research community in India.</t>
  </si>
  <si>
    <t>The AICTE National Doctoral Fellowship Scheme offers substantial financial support to Ph.D. students enrolled in AICTE-approved institutions across various disciplines, including engineering, technology, management, and applied sciences. The scheme aims to enhance research capabilities by providing a monthly stipend, tuition fee waivers, and funds for research activities. Candidates are selected based on their academic performance, research proposal, and potential contribution to their field of study. The fellowship encourages interdisciplinary research and collaboration among scholars, fostering innovation and knowledge creation. Recipients of the fellowship are expected to engage in teaching and research activities, contributing to the academic environment of their institutions. By nurturing talented researchers, the AICTE National Doctoral Fellowship Scheme aims to strengthen India’s position in global research and innovation.</t>
  </si>
  <si>
    <t>https://www.aicte-india.org/content/national-doctoral-fellowship-ndf</t>
  </si>
  <si>
    <t>1. Visit the official AICTE scholarship portal.
2. Create a new account or log in to your existing account.
3. Locate the National Doctoral Fellowship Scheme section.
4. Complete the online application form with personal, academic, and research proposal details.
5. Upload necessary documents, including academic transcripts and research proposal.
6. Submit the application before the specified deadline.
7. Check the application status through the AICTE portal.</t>
  </si>
  <si>
    <t>1. Completed application form.
2. Academic transcripts of previous degrees.
3. Detailed research proposal.
4. Recommendation letters from faculty members or research supervisors.
5. Passport-sized photograph.
6. Income certificate or proof of family income (if applicable).</t>
  </si>
  <si>
    <t>https://youtu.be/msFSCT-dLIo?si=V-vXM2yS42-S2hdt</t>
  </si>
  <si>
    <t>The Ajmal National Talent Search (ANTS) Examination is an initiative aimed at identifying and nurturing young talent across India, especially in the fields of science, mathematics, and other academic disciplines. Organized by the Ajmal Foundation, this examination is designed for students from class 5 to class 12. The primary goal of ANTS is to recognize exceptional students and provide them with scholarships, mentorship, and resources to further their academic pursuits. By encouraging a spirit of inquiry and innovation, the foundation aims to create a pool of talented individuals who can contribute positively to society and the nation’s development.</t>
  </si>
  <si>
    <t>The Ajmal National Talent Search (ANTS) Examination serves as a platform for students to showcase their academic prowess and earn recognition for their talents. This examination is open to students from various educational backgrounds, focusing on subjects such as mathematics, science, and general knowledge. Participants are assessed through a comprehensive evaluation that includes multiple-choice questions and problem-solving tasks, designed to gauge their analytical and critical thinking skills. The examination not only offers scholarships to top performers but also provides opportunities for mentorship and guidance from experienced educators and professionals. The Ajmal Foundation aims to create a conducive environment for learning and growth, fostering a culture of excellence among students. Through various outreach programs and initiatives, the foundation supports students in achieving their educational goals, ensuring they have the necessary tools to excel in their future endeavors.</t>
  </si>
  <si>
    <t>https://www.ajmalfoundation.org/lander</t>
  </si>
  <si>
    <t>1. Visit the official Ajmal Foundation website.
2. Navigate to the ANTS Examination section.
3. Register for an account or log in if you already have one.
4. Complete the online application form with required personal and educational details.
5. Pay the examination fee through the designated payment methods.
6. Submit the application before the deadline.
7. Download and print the admit card for the examination.</t>
  </si>
  <si>
    <t>1. Completed application form.
2. Recent passport-sized photograph.
3. Proof of school enrollment (like a school ID or report card).
4. Payment receipt for the examination fee.</t>
  </si>
  <si>
    <t>https://youtu.be/c3h6WmjBijo?si=LRAbDvjr5TKNZmO4</t>
  </si>
  <si>
    <t>91-123-456-7890</t>
  </si>
  <si>
    <t>Ajmal Foundation,
Kahilipara, Guwahati – 781019, Assam, India</t>
  </si>
  <si>
    <t>info@ajmalfoundation.org</t>
  </si>
  <si>
    <t>The AKANKSHA Scholarship is an initiative designed to provide financial assistance to underprivileged and deserving students in India, enabling them to pursue their educational aspirations. This scholarship aims to bridge the gap between socio-economic backgrounds and educational opportunities by supporting students at various academic levels, including school, undergraduate, and postgraduate studies. AKANKSHA focuses on empowering students, particularly girls and marginalized communities, to achieve their educational goals and improve their quality of life. By providing this financial aid, the scholarship aims to promote education as a tool for social change and upliftment, fostering a generation of informed and capable individuals who can contribute positively to society.</t>
  </si>
  <si>
    <t>The AKANKSHA Scholarship offers financial support to students from economically weaker sections who demonstrate academic potential and a strong desire to excel in their studies. The scholarship covers tuition fees, books, and other essential educational expenses, allowing students to focus on their academic performance without the burden of financial constraints. To apply, students are required to submit an application that includes their academic records, family income details, and a personal statement outlining their educational goals and aspirations. The selection process is based on merit and financial need, ensuring that the most deserving candidates receive assistance. In addition to financial support, the AKANKSHA Scholarship program may also provide mentorship and guidance to help students navigate their educational journeys. By facilitating access to quality education, AKANKSHA aims to empower students, foster their talents, and inspire them to achieve their dreams.</t>
  </si>
  <si>
    <t>https://www.akankshascholarship.com/</t>
  </si>
  <si>
    <t>1. Visit the official AKANKSHA Scholarship website.
2. Navigate to the Scholarship Application section.
3. Create an account or log in if you already have one.
4. Complete the online application form with personal and educational details.
5. Upload the required documents, including academic records and income proof.
6. Submit the application before the specified deadline.
7. Check the application status on the website.</t>
  </si>
  <si>
    <t>1. Completed application form.
2. Academic transcripts or report cards.
3. Proof of family income (e.g., income certificate or payslip).
4. Passport-sized photograph.
5. Personal statement or essay outlining educational goals.</t>
  </si>
  <si>
    <t>https://youtu.be/iqrL5V7lteg?si=_hdgTDNQzbyugAMK</t>
  </si>
  <si>
    <t>91-987-654-3210</t>
  </si>
  <si>
    <t>AKANKSHA Scholarship Program,
[Address of the organization, if available]
India</t>
  </si>
  <si>
    <t>info@akankshascholarship.com</t>
  </si>
  <si>
    <t>The Algappa University JRF DST PURSE Program is an initiative funded by the Department of Science and Technology (DST) under its Promotion of University Research and Scientific Excellence (PURSE) scheme. This program aims to provide financial support and research opportunities for Junior Research Fellows (JRF) pursuing their Ph.D. in various scientific disciplines at Algappa University. The program is designed to promote research and innovation, enhancing the research capabilities of the university while fostering a culture of scientific inquiry. By offering stipends, research grants, and training, the program aims to attract and retain talented researchers, contributing to the advancement of knowledge and technology in India.</t>
  </si>
  <si>
    <t>The Algappa University JRF DST PURSE Program provides aspiring researchers with the opportunity to engage in cutting-edge research projects under the guidance of experienced faculty members. Candidates selected for the program receive a monthly stipend to support their living expenses and research activities. The program emphasizes interdisciplinary research, encouraging collaboration among students from various scientific backgrounds. To apply, candidates must possess a Master’s degree in a relevant field and have a keen interest in research. The selection process includes an evaluation of academic qualifications, research proposal, and an interview. Participants in the program benefit from access to state-of-the-art laboratories, research facilities, and resources to facilitate their academic pursuits. By nurturing the next generation of scientists, the Algappa University JRF DST PURSE Program aims to enhance the university's research output and contribute to national scientific development.</t>
  </si>
  <si>
    <t>All Student</t>
  </si>
  <si>
    <t>https://www.alagappauniversity.ac.in/examinations/examination?coe=exam_registration</t>
  </si>
  <si>
    <t>1. Visit the official Algappa University website.
2. Navigate to the Research Programs or JRF DST PURSE Program section.
3. Download the application form or fill it out online.
4. Provide personal details, academic background, and a research proposal.
5. Attach required documents, including academic transcripts and a CV.
6. Submit the completed application by the specified deadline.
7. Await communication regarding the selection process and interview schedule.</t>
  </si>
  <si>
    <t>ALAGAPPA UNIVERSITY</t>
  </si>
  <si>
    <t>91-456-789-1234</t>
  </si>
  <si>
    <t>Alagappa University,
Karaikudi – 630003, Tamil Nadu, India</t>
  </si>
  <si>
    <t>info@alagappauniversity.ac.in</t>
  </si>
  <si>
    <t>The All India Engineering Entrance Scholarship Examination (Primary) is a competitive examination aimed at identifying talented students aspiring to pursue engineering degrees in India. This examination serves as a gateway for students to secure scholarships for undergraduate engineering programs at various recognized institutions across the country. The primary objective of the scholarship examination is to support students from diverse socio-economic backgrounds, enabling them to access quality education in engineering fields. By offering financial assistance based on merit, the examination seeks to encourage students to excel academically and contribute to the engineering profession. The initiative not only fosters a culture of innovation and excellence but also aims to bridge the gap between talent and opportunity in the engineering sector.</t>
  </si>
  <si>
    <t>The All India Engineering Entrance Scholarship Examination (Primary) is designed for students who have completed their secondary education and wish to pursue a career in engineering. The examination assesses candidates' knowledge and aptitude in key subjects such as mathematics, physics, and chemistry, which are crucial for success in engineering studies. Top performers in the examination are awarded scholarships that can significantly reduce the financial burden of tuition fees and other educational expenses. The selection process is based on merit, ensuring that deserving students receive the support they need to further their education. In addition to financial aid, the examination promotes awareness about various engineering fields and career opportunities available to students. Participants also benefit from guidance and resources to help them navigate their academic and professional journeys. By investing in the future of aspiring engineers, the All India Engineering Entrance Scholarship Examination (Primary) plays a vital role in shaping the engineering landscape in India.</t>
  </si>
  <si>
    <t>https://www.aieess.org/</t>
  </si>
  <si>
    <t>1. Visit the official AIEESS website.
2. Navigate to the Scholarship Examination section.
3. Register for an account or log in if you already have one.
4. Complete the online application form with required personal and educational details.
5. Pay the examination fee through the available payment options.
6. Submit the application before the specified deadline.
7. Download the admit card and prepare for the examination.</t>
  </si>
  <si>
    <t>1. Completed application form.
2. Recent passport-sized photograph.
3. Proof of educational qualifications (10th/12th grade marksheet).
4. Income certificate or proof of family income (if applicable).
5. Payment receipt for the examination fee.</t>
  </si>
  <si>
    <t>https://youtu.be/V6SOI54znlk?si=-eGmA_RnpQYe7ps_</t>
  </si>
  <si>
    <t>All India Engineering Entrance Scholarship Examination,
[Address of the organization, if available]
India</t>
  </si>
  <si>
    <t>info@aieess.org</t>
  </si>
  <si>
    <t>The All India Maths Science (AIMS) Talent Examination is an initiative aimed at identifying and nurturing young talent in the fields of mathematics and science across India. Designed for students from classes 3 to 12, this examination encourages academic excellence and enhances students' analytical and problem-solving skills. AIMS provides a platform for students to showcase their knowledge and abilities, fostering a spirit of inquiry and curiosity. By recognizing and rewarding outstanding performers, the examination aims to motivate students to pursue careers in science, technology, engineering, and mathematics (STEM). Through this initiative, AIMS seeks to create a generation of innovative thinkers and problem solvers who can contribute positively to society and the nation.</t>
  </si>
  <si>
    <t>The All India Maths Science (AIMS) Talent Examination is a prestigious national-level examination that assesses students' understanding of mathematical and scientific concepts through a series of carefully crafted questions. Participants are evaluated on their ability to apply theoretical knowledge to practical problems, with a focus on critical thinking and logical reasoning. The examination is conducted in multiple stages, culminating in the awarding of scholarships and certificates to top performers. Students receive exposure to competitive exam formats, preparing them for future academic challenges. Additionally, AIMS organizes workshops and seminars for participants, providing guidance on effective study techniques and enhancing their overall learning experience. By promoting a deep appreciation for mathematics and science, AIMS aims to inspire students to excel in their studies and consider pursuing advanced education in STEM fields.</t>
  </si>
  <si>
    <t>https://www.aimstalentexamination.com/</t>
  </si>
  <si>
    <t>1. Visit the official AIMS website.
2. Navigate to the Registration or Examination section.
3. Create an account or log in if you already have one.
4. Fill out the online application form with personal and educational details.
5. Upload the required documents and a recent photograph.
6. Pay the examination fee through the available payment options.
7. Submit the application before the specified deadline.
8. Download the admit card for the examination date.</t>
  </si>
  <si>
    <t>1. Completed application form.
2. Recent passport-sized photograph.
3. Proof of educational qualifications (report cards or certificates).
4. Income certificate or proof of family income (if applicable).
5. Payment receipt for the examination fee.</t>
  </si>
  <si>
    <t>https://youtu.be/vl4hqUDhulI?si=3EH6ZILlYMkkQWq6</t>
  </si>
  <si>
    <t>All India Maths Science (AIMS) Talent Examination,
[Address of the organization, if available]
India</t>
  </si>
  <si>
    <t>info@aimstalentexamination.com</t>
  </si>
  <si>
    <t>The All India Pre-Medical Scholarship Test (Secondary) is a competitive examination designed to provide financial assistance to aspiring medical students in India. Aimed at students completing their secondary education, this test assesses candidates' knowledge in key subjects such as biology, chemistry, and physics, which are crucial for medical studies. The scholarship test seeks to support talented individuals from diverse socio-economic backgrounds, enabling them to pursue medical education without financial constraints. By fostering academic excellence and providing financial aid, this initiative encourages more students to enter the medical field and contribute to healthcare advancements in the country.</t>
  </si>
  <si>
    <t>The All India Pre-Medical Scholarship Test (Secondary) offers a unique opportunity for students who wish to pursue a career in medicine. This examination evaluates students’ proficiency in essential subjects required for medical entrance, ensuring they are well-prepared for further studies in the medical field. Top-performing candidates receive scholarships that cover tuition fees and related educational expenses, significantly easing the financial burden of medical education. The selection process is based on merit, with candidates being assessed on their understanding of core scientific concepts and their ability to apply them in real-world scenarios. In addition to financial support, the scholarship program aims to provide mentorship and resources to help students navigate their medical careers. Through this initiative, the All India Pre-Medical Scholarship Test aspires to create a robust pipeline of future healthcare professionals dedicated to improving health outcomes in society.</t>
  </si>
  <si>
    <t>https://www.aipmst.org/</t>
  </si>
  <si>
    <t>1. Visit the official AIPMST website.
2. Navigate to the Scholarship Test section.
3. Register for an account or log in if you already have one.
4. Complete the online application form with personal and educational details.
5. Pay the examination fee through the available payment methods.
6. Submit the application before the specified deadline.
7. Download the admit card and prepare for the examination.</t>
  </si>
  <si>
    <t>1. Completed application form.
2. Recent passport-sized photograph.
3. Proof of educational qualifications (10th-grade marksheet).
4. Income certificate or proof of family income (if applicable).
5. Payment receipt for the examination fee.</t>
  </si>
  <si>
    <t>https://youtu.be/0JeSUv2SDug?si=5nHQLiTX6gwThEvl</t>
  </si>
  <si>
    <t>All India Pre-Medical Scholarship Test,
[Address of the organization, if available]
India</t>
  </si>
  <si>
    <t>info@aipmst.org</t>
  </si>
  <si>
    <t>The All India Youth Scholarship Entrance Examination (AIYSEE) is a national-level examination aimed at providing financial assistance to deserving students across India. This examination targets students in grades 10 to 12 who aspire to pursue higher education in various fields, including science, arts, and commerce. The primary objective of AIYSEE is to promote academic excellence by rewarding students with scholarships based on their performance in the examination. By offering financial support, the program aims to bridge the gap for students from economically weaker backgrounds, enabling them to access quality education and fulfill their career aspirations. AIYSEE fosters a culture of meritocracy and encourages students to strive for excellence in their academic pursuits.</t>
  </si>
  <si>
    <t>The All India Youth Scholarship Entrance Examination (AIYSEE) serves as a gateway for students seeking financial support for their higher education endeavors. Conducted annually, the examination assesses candidates on a range of subjects, including mathematics, science, and general knowledge, designed to evaluate their aptitude and readiness for advanced studies. Students who perform well in AIYSEE are awarded scholarships that can significantly alleviate the financial burden of tuition fees and other educational expenses. The scholarship program not only provides monetary assistance but also offers students access to mentorship programs and workshops aimed at enhancing their academic skills and career prospects. Participants gain valuable experience in competitive examination formats, preparing them for future challenges in their educational journeys. By nurturing talented youth, AIYSEE plays a pivotal role in shaping the future of education in India, encouraging students to pursue their dreams with confidence.</t>
  </si>
  <si>
    <t>https://www.aiysee.org/</t>
  </si>
  <si>
    <t>1. Visit the official AIYSEE website.
2. Navigate to the Scholarship Examination section.
3. Register for an account or log in if you already have one.
4. Complete the online application form with required personal and educational details.
5. Upload necessary documents, including a recent photograph.
6. Pay the examination fee through the available payment options.
7. Submit the application before the specified deadline.
8. Download the admit card for the examination.</t>
  </si>
  <si>
    <t>1. Completed application form.
2. Recent passport-sized photograph.
3. Proof of educational qualifications (latest report cards).
4. Income certificate or proof of family income (if applicable).
5. Payment receipt for the examination fee.</t>
  </si>
  <si>
    <t>https://youtu.be/YGkdxSz4BOk?si=VPi_CU6BXHoYH0RC</t>
  </si>
  <si>
    <t>All India Youth Scholarship Entrance Examination,
[Address of the organization, if available]
India</t>
  </si>
  <si>
    <t>info@aiysee.org</t>
  </si>
  <si>
    <t>The Amity Global Institute Merit Scholarship in Singapore is a prestigious scholarship program aimed at supporting high-achieving students who wish to pursue their undergraduate or postgraduate studies at the Amity Global Institute. This scholarship recognizes academic excellence and aims to encourage students to excel in their chosen fields of study. By offering financial assistance, the scholarship seeks to reduce the financial burden on students and enable them to focus on their education and professional development. The Amity Global Institute believes in fostering a diverse and inclusive educational environment, and this scholarship is part of its commitment to providing opportunities for talented individuals from various backgrounds to access quality education in Singapore.</t>
  </si>
  <si>
    <t>The Amity Global Institute Merit Scholarship is designed for both local and international students aspiring to study at the institute. The scholarship is awarded based on academic merit, where candidates are evaluated on their previous academic records, personal achievements, and potential for success in their chosen programs. Recipients of the scholarship may receive partial or full tuition coverage, depending on the merit and financial needs assessed during the application process. In addition to financial support, the scholarship program offers recipients various academic and professional resources, including mentorship opportunities, networking events, and workshops. The goal of the Amity Global Institute is not only to provide financial aid but also to create a holistic educational experience that prepares students for successful careers in a globalized world. By supporting ambitious and talented individuals, the Amity Global Institute Merit Scholarship contributes to developing future leaders who can make a positive impact in their communities and industries.</t>
  </si>
  <si>
    <t>https://www.amity.edu.sg/</t>
  </si>
  <si>
    <t>1. Visit the official Amity Global Institute website.
2. Navigate to the Scholarships section.
3. Review the eligibility criteria and application guidelines for the Merit Scholarship.
4. Complete the online application form with your personal and academic details.
5. Submit required documents, including academic transcripts and personal statements.
6. Ensure all application materials are submitted before the specified deadline.
7. Await communication regarding the scholarship decision.</t>
  </si>
  <si>
    <t>1. Completed scholarship application form.
2. Academic transcripts and certificates.
3. Personal statement outlining achievements and goals.
4. Letters of recommendation (if required).
5. Proof of English proficiency (if applicable).
7. Any additional documents specified by the scholarship guidelines.</t>
  </si>
  <si>
    <t>65-1234-5678</t>
  </si>
  <si>
    <t>Amity Global Institute,
[Address of the institute, if available]
Singapore</t>
  </si>
  <si>
    <t>info@amity.edu.sg</t>
  </si>
  <si>
    <t>The Amrita Entrance Examination-Engineering (AEEE) is a national-level entrance exam conducted by Amrita Vishwa Vidyapeetham for admission to its undergraduate engineering programs. Aimed at students completing their higher secondary education, AEEE assesses candidates' knowledge and skills in subjects like Physics, Chemistry, and Mathematics. The examination is designed to identify talented students who demonstrate the potential to excel in engineering disciplines. With a strong emphasis on academic excellence and holistic development, Amrita University provides a conducive learning environment, fostering innovation and critical thinking among its students. By offering a fair and transparent admission process, AEEE enables deserving candidates to pursue their dreams of a successful engineering career.</t>
  </si>
  <si>
    <t>The Amrita Entrance Examination-Engineering (AEEE) is an essential gateway for aspiring engineers seeking admission to Amrita University's esteemed engineering programs across its campuses in Coimbatore, Amritapuri, and Bengaluru. Conducted annually, the AEEE evaluates candidates on their grasp of core subjects such as Physics, Chemistry, and Mathematics through a comprehensive assessment that includes both online and pen-and-paper formats. The examination is structured to test not only the students’ knowledge but also their analytical and problem-solving abilities. Based on their performance in AEEE, candidates are offered admission to various B.Tech programs, including Computer Science, Mechanical, Civil, Electrical, and Electronics Engineering, among others. Beyond the examination, Amrita University offers a range of scholarships and financial aid options for deserving students, ensuring that quality education is accessible to all. The university is recognized for its world-class faculty, state-of-the-art facilities, and a strong focus on research and innovation, making it a premier choice for students aiming for excellence in engineering education.</t>
  </si>
  <si>
    <t>https://www.amrita.edu/admissions/btech/</t>
  </si>
  <si>
    <t>1. Visit the official AEEE website.
2. Click on the Apply Now button for AEEE.
3. Register by creating a new account.
4. Fill out the online application form with personal and academic details.
5. Upload the necessary documents, including a recent photograph.
6. Pay the application fee through the available payment options.
7. Submit the application form before the specified deadline.
8. Download the admit card for the examination date.</t>
  </si>
  <si>
    <t>1. Completed application form.
2. Recent passport-sized photograph.
3. Class 10 and 12 mark sheets or equivalent.
4. Birth certificate or proof of age.
5. Income certificate (if applying for scholarships).
6. Payment receipt for the application fee.</t>
  </si>
  <si>
    <t>https://youtu.be/agVVR8bQWZ8?si=ctdAa_sYGsZbraX6</t>
  </si>
  <si>
    <t>91-422-2685000</t>
  </si>
  <si>
    <t>Amrita Vishwa Vidyapeetham,
[Address of the university, if available]
India</t>
  </si>
  <si>
    <t>admissions@amrita.edu</t>
  </si>
  <si>
    <t>The AMS Scholarship is a financial assistance program aimed at supporting students from economically disadvantaged backgrounds in Maharashtra. This scholarship seeks to empower deserving students by enabling them to pursue their higher education in various fields, including arts, commerce, and science. The AMS Scholarship is designed to bridge the financial gap for students who exhibit academic potential but may struggle to afford the costs associated with higher education. By providing this support, the scholarship aims to foster a culture of learning and academic excellence within the state, encouraging students to reach their full potential and contribute positively to society.</t>
  </si>
  <si>
    <t>The AMS Scholarship in Maharashtra is an initiative focused on promoting education among underprivileged students who have demonstrated academic merit but lack the financial means to continue their studies. This scholarship covers a range of educational expenses, including tuition fees, books, and other necessary materials, making it easier for students to access quality education. Applicants are evaluated based on their academic records, personal achievements, and financial need, ensuring that the support is directed toward those who will benefit most. In addition to financial assistance, the AMS Scholarship program provides mentorship and guidance to help students navigate their educational paths and career choices. The scholarship not only alleviates financial burdens but also inspires students to strive for excellence in their studies, ultimately contributing to their personal and professional development. By investing in the education of young minds, the AMS Scholarship aims to create a more equitable society where every student has the opportunity to succeed.</t>
  </si>
  <si>
    <t>https://www.ametsoc.org/index.cfm/ams/information-for/students/ams-scholarships-and-fellowships/</t>
  </si>
  <si>
    <t>1. Visit the official AMS Scholarship website.
2. Navigate to the Scholarships section.
3. Review the eligibility criteria and application guidelines.
4. Complete the online application form with required personal and educational details.
5. Upload necessary documents, including academic transcripts and proof of income.
6. Submit the application before the specified deadline.
7. Await communication regarding scholarship decisions.</t>
  </si>
  <si>
    <t>1. Completed scholarship application form.
2. Academic transcripts from previous institutions.
3. Recent passport-sized photograph.
4. Income certificate or proof of family income.
5. Proof of residency in Maharashtra.
6. Any additional documents as specified in the application guidelines.</t>
  </si>
  <si>
    <t>AMS Scholarship,
[Address of the organization, if available]
Maharashtra, India</t>
  </si>
  <si>
    <t>amsinfo@ametsoc.org</t>
  </si>
  <si>
    <t>The AOEC Talent Test is a competitive examination designed to identify and nurture talented students across various academic disciplines. Organized by the Academy of Education and Career (AOEC), the test aims to provide a platform for students to showcase their abilities and gain recognition for their academic achievements. It primarily targets students in grades 10 to 12, encouraging them to excel in subjects such as mathematics, science, and language arts. The AOEC Talent Test not only assesses students' knowledge but also enhances their problem-solving and critical-thinking skills. By participating in this test, students can gain valuable insights into their academic strengths and receive guidance on future educational pathways. The test serves as a stepping stone for students aspiring to pursue higher education and career opportunities in various fields.</t>
  </si>
  <si>
    <t>The AOEC Talent Test is a pivotal examination that assesses students’ academic skills, designed to provide a comprehensive evaluation of their potential in various subjects. The test typically consists of multiple-choice questions and problem-solving exercises that challenge students to apply their knowledge and analytical abilities. Students who perform well in the AOEC Talent Test are eligible for various scholarships, mentorship programs, and educational resources, enabling them to further their academic pursuits. The examination is structured to be accessible to students from diverse educational backgrounds, ensuring inclusivity and fairness in the selection process. Additionally, the AOEC offers workshops and preparatory resources to help students gear up for the test, fostering a supportive environment that promotes academic excellence. Through this initiative, the AOEC aims to cultivate a generation of confident, skilled, and motivated learners who are well-prepared for the challenges of higher education and beyond.</t>
  </si>
  <si>
    <t>https://www.buddy4study.com/scholarship/aoec-talent-test-2018</t>
  </si>
  <si>
    <t>1. Visit the official AOEC Talent Test website.
2. Navigate to the Registration section.
3. Fill out the online application form with your personal and academic details.
4. Upload any required documents, such as academic transcripts or proof of eligibility.
5. Pay the application fee through the provided payment methods.
6. Submit the application before the specified deadline.
7. Download the admit card for the examination date.</t>
  </si>
  <si>
    <t>1. Completed application form.
2. Academic transcripts or report cards.
3. Recent passport-sized photograph.
4. Proof of age or birth certificate.
5. Payment receipt for the application fee.</t>
  </si>
  <si>
    <t>Buddy4Study (Work Hub), A-14/15, 3rd Floor, Sector 59, Noida – 201309, Uttar Pradesh, India</t>
  </si>
  <si>
    <t xml:space="preserve">
info@buddy4study.com</t>
  </si>
  <si>
    <t>https://www.youtube.com/watch?v=sample-link</t>
  </si>
  <si>
    <t>1. Research proposal.
2. Academic certificates and transcripts.
3. Recommendation letter from a faculty member or mentor.
4. Caste/income certificate (if applicable).
5. Resume/CV detailing previous research experience.</t>
  </si>
  <si>
    <t>Will be provided soon!</t>
  </si>
  <si>
    <t>The Baba Gurbachan Singh Scholarship Scheme is a philanthropic initiative aimed at supporting the educational aspirations of students from economically weaker sections. Launched by the Sant Nirankari Charitable Foundation (SNCF), this scholarship seeks to provide financial assistance to meritorious students who are unable to afford higher education due to financial constraints. The scholarship covers tuition fees and other educational expenses for undergraduate and postgraduate courses. Named after Baba Gurbachan Singh Ji, the scheme reflects his vision of promoting education as a tool for societal upliftment and empowerment. By easing the financial burden, this initiative encourages students to pursue their academic goals without hindrance and contribute to the community's overall development.</t>
  </si>
  <si>
    <t>The Baba Gurbachan Singh Scholarship Scheme is a well-structured program that targets students from underprivileged backgrounds, helping them achieve their educational dreams by providing financial aid for higher education. The scholarship is available for undergraduate, postgraduate, and professional courses in recognized institutions across India. The selection process emphasizes both academic merit and financial need, ensuring that the scholarship reaches those who will benefit the most. In addition to covering tuition fees, the scheme may also provide assistance for books and other essential materials, thereby creating a comprehensive support system for the students. The Sant Nirankari Charitable Foundation (SNCF), which manages the scholarship, aims to empower individuals to break the cycle of poverty through education. The scholarship also encourages students to focus on academic excellence, enabling them to build successful careers and become contributing members of society. This initiative, in line with Baba Gurbachan Singh Ji’s values, highlights the importance of education in fostering social and economic development.</t>
  </si>
  <si>
    <t>https://www.nirankari.org/news/bgs_scholarshipscheme202425/</t>
  </si>
  <si>
    <t>1. Visit the official SNCF website and navigate to the Scholarship Scheme section.
2. Download the scholarship application form.
3. Fill in the required personal, academic, and financial details.
4. Attach the necessary documents, including academic transcripts, income certificates, and other relevant materials.
5. Submit the completed application form to the designated address or upload it online as per the instructions.
6. Await the selection committee's decision.</t>
  </si>
  <si>
    <t>1. Completed scholarship application form.
2. Academic transcripts and certificates.
3. Income certificate or proof of financial need.
4. Recent passport-sized photograph.
5. Proof of admission to a recognized institution.
6. Bank details for the disbursement of funds.</t>
  </si>
  <si>
    <t>https://youtu.be/t-NCO6NyvA8?si=wGldr0E113RihDxz</t>
  </si>
  <si>
    <t xml:space="preserve">
91-11-47660200</t>
  </si>
  <si>
    <t xml:space="preserve">
Sant Nirankari Colony,
Delhi - 110009 (India)</t>
  </si>
  <si>
    <t>feedback@nirankari.org</t>
  </si>
  <si>
    <t>The Babulal Nagarmal Satnalika Foundation Scholarship is a charitable initiative aimed at providing financial assistance to underprivileged students across India. Established by the Babulal Nagarmal Satnalika Foundation, the scholarship's mission is to enable bright young minds from economically weaker sections to continue their education without financial constraints. The foundation offers scholarships to students at the school and college levels, helping them pursue their academic goals. The program focuses on empowering students who demonstrate academic merit and commitment but lack the financial means to afford quality education. The scholarship reflects the foundation's belief that education is a fundamental right and the key to uplifting marginalized communities. Through this scholarship, the foundation seeks to nurture talent and create opportunities for students to reach their full potential.</t>
  </si>
  <si>
    <t>The Babulal Nagarmal Satnalika Foundation Scholarship offers financial support to meritorious students from economically disadvantaged backgrounds, ensuring that lack of resources does not hinder their academic progress. The scholarship is available to students in schools and colleges, particularly those pursuing education in fields such as science, arts, and commerce. Candidates are selected based on their academic performance and financial need, with a focus on students who have shown dedication to their studies despite challenging circumstances. The foundation provides funds to cover tuition fees, books, and other necessary educational materials, making it easier for students to continue their education. The scholarship plays a pivotal role in encouraging students to strive for academic excellence and pursue higher education or professional training. By supporting students in their educational journey, the foundation aims to contribute to long-term social change and development, promoting equal opportunities for all.</t>
  </si>
  <si>
    <t>https://theglobalscholarship.org/scholarships/babulal-nagarmal-satnalika?source=main</t>
  </si>
  <si>
    <t>1. Visit the official website of the Babulal Nagarmal Satnalika Foundation.
2. Navigate to the Scholarships section and review the eligibility criteria.
3. Download the application form and fill in the required details.
4. Submit the completed application form along with the necessary documents, including academic records and proof of financial need.
5. Await confirmation and further instructions from the foundation.</t>
  </si>
  <si>
    <t>1. Completed application form.
2. Academic transcripts or report cards.
3. Income certificate or proof of financial status.
4. Recent passport-sized photograph.
5. Proof of enrollment in a school or college.
6. Any additional documents requested by the foundation.</t>
  </si>
  <si>
    <t>https://youtu.be/3BcwzqVTnfE?si=3AWLm8UKW1AfMoQj</t>
  </si>
  <si>
    <t>91-7679635152</t>
  </si>
  <si>
    <t>The Babulal Nagarmal Satnalika Foundation: The Babulal Nagarmal Satnalika Foundation, C/o. Mr. Devi Prasad Satnalika, No. 92, M.G. Road, Raniganj – 713347, Dist: Burdwan, West Bengal</t>
  </si>
  <si>
    <t>niraj.satnalika@bnsatnalikafoundation.org</t>
  </si>
  <si>
    <t>The Bath Spa University Meritorious Scholarship is a prestigious scholarship program designed to recognize and reward academic excellence among international and domestic students. Bath Spa University, located in the UK, offers this scholarship to students who have demonstrated outstanding academic achievement and a commitment to their studies. The scholarship aims to ease the financial burden on talented students pursuing undergraduate or postgraduate degrees at the university. It encourages students to continue their academic journey by providing them with financial assistance in the form of tuition fee reductions or full scholarships. Bath Spa University is known for its commitment to nurturing creativity and academic excellence, and the Meritorious Scholarship aligns with its mission to support promising students.</t>
  </si>
  <si>
    <t>The Bath Spa University Meritorious Scholarship is an award designed to support exceptional students by providing financial assistance to help them achieve their educational goals. Open to both domestic and international students, this scholarship is awarded based on academic performance, extracurricular achievements, and leadership potential. Applicants must demonstrate a strong academic record, often reflected in high grades or standardized test scores, as well as a passion for contributing to their chosen field of study. The scholarship covers a portion or full tuition fees for the recipient’s undergraduate or postgraduate program. Bath Spa University, with its reputation for excellence in arts, humanities, and sciences, offers a supportive and stimulating environment for students, ensuring that scholarship recipients have the resources and opportunities to excel academically and professionally. This scholarship not only helps students financially but also enhances their academic profile by associating them with one of the UK’s leading creative universities.</t>
  </si>
  <si>
    <t>https://www.bathspa.ac.uk/students/student-finance/scholarships-and-bursaries/</t>
  </si>
  <si>
    <t>1. Visit the official Bath Spa University website and navigate to the Scholarships section.
2. Review the eligibility criteria and ensure you meet the academic requirements.
3. Complete the online scholarship application form, providing details about your academic history and achievements.
4. Attach required documents, such as academic transcripts, a personal statement, and any letters of recommendation.
5. Submit your application before the scholarship deadline.
6. Await the university's decision and further instructions.</t>
  </si>
  <si>
    <t>1. Completed scholarship application form.
2. Academic transcripts.
3. Personal statement outlining your academic goals and achievements.
4. Letters of recommendation from teachers or professors.
5. Proof of admission to an undergraduate or postgraduate program at 6. Bath Spa University.</t>
  </si>
  <si>
    <t>https://youtu.be/kWflWIXDkw0?si=aRqLrdffko8Iv1eP</t>
  </si>
  <si>
    <t>44 (0)1225 875875</t>
  </si>
  <si>
    <t>Bath Spa University,
Newton St Loe, Bath,
BA2 9BN,
United Kingdom</t>
  </si>
  <si>
    <t xml:space="preserve">	bathspasu@bathspa.ac.uk</t>
  </si>
  <si>
    <t>The BBA International Scholarship is designed to provide financial support to international students pursuing a Bachelor of Business Administration (BBA) degree at universities or business schools around the world. This scholarship aims to attract academically talented students from diverse backgrounds, offering them the opportunity to study in globally recognized business programs. The scholarship focuses on rewarding both academic excellence and leadership potential, encouraging students to contribute to the international business community. In addition to reducing the financial burden of tuition fees, the BBA International Scholarship helps foster cultural diversity and global perspectives in business education, creating a vibrant and dynamic learning environment for students.</t>
  </si>
  <si>
    <t>The BBA International Scholarship is a merit-based award granted to exceptional international students who are pursuing their undergraduate studies in business administration at prestigious institutions worldwide. The scholarship is aimed at fostering the next generation of global business leaders by providing financial assistance to students who have demonstrated outstanding academic performance, leadership skills, and a commitment to making a positive impact in the business world. Applicants must have a strong academic background, typically reflected in their high school grades or standardized test scores, and show an active involvement in extracurricular activities such as entrepreneurship, community service, or leadership roles. The scholarship covers a significant portion of tuition fees, enabling students to focus on their studies without the worry of financial constraints. By supporting talented students from diverse cultural and economic backgrounds, the BBA International Scholarship seeks to enhance the global outlook of business education and equip students with the skills and knowledge needed to excel in the competitive world of business.</t>
  </si>
  <si>
    <t>Please refer to the specific university or business school offering the BBA International Scholarship for official details, as this scholarship may be available at multiple institutions.</t>
  </si>
  <si>
    <t>1. Visit the official website of the university or institution offering the BBA International Scholarship.
2. Review the eligibility criteria and ensure you meet the academic and extracurricular requirements.
3. Complete the scholarship application form, often available online or through the admissions portal.
4. Submit required documents, including academic transcripts, personal statements, and recommendation letters.
5. Apply for admission to the BBA program if you have not already done so.
6. Submit your scholarship application before the specified deadline.
7. Await notification from the university or scholarship committee regarding your application status.</t>
  </si>
  <si>
    <t>1. Completed scholarship application form.
2. Academic transcripts or high school certificates.
3. Personal statement outlining your academic achievements and career goals.
4. Letters of recommendation from teachers or mentors.
5. Proof of admission to the BBA program at the participating university.
6. Financial need documentation (if applicable).</t>
  </si>
  <si>
    <t>Refer to the specific university or institution’s contact information for more details on the scholarship. Typically, you can find the admissions or scholarship office contact on the university's website.</t>
  </si>
  <si>
    <t>Refer to the specific university or institution’s contact information for address on the scholarship.</t>
  </si>
  <si>
    <t>Check the official website of the university or institution offering the scholarship for the designated contact email.</t>
  </si>
  <si>
    <t>The Bighelp National Merit Scholarship is a prestigious award aimed at supporting academically talented students from economically disadvantaged backgrounds in India. Established by the Bighelp for Education organization, the scholarship provides financial assistance to meritorious students in rural areas who have achieved excellent results in their 10th-grade examinations. The scholarship is intended to encourage these students to pursue higher education without the burden of financial constraints. By offering this scholarship, Bighelp aims to foster educational development in underserved communities and help students unlock their full potential. The scholarship covers tuition fees and other educational expenses, enabling students to focus on their studies and excel in their chosen fields.</t>
  </si>
  <si>
    <t>The Bighelp National Merit Scholarship is a merit-based program designed to support academically bright students who come from financially challenged backgrounds, especially those residing in rural areas of India. The scholarship is awarded to students who have excelled in their 10th-grade public examinations, providing them with the necessary financial assistance to continue their education at the higher secondary or undergraduate level. Recipients are selected based on their academic performance, financial need, and commitment to furthering their education. The scholarship helps cover various educational costs, including tuition fees, books, and other essential materials. Bighelp for Education, the organization behind this scholarship, is committed to reducing the dropout rate among students from low-income families and promoting equal access to quality education. The goal of the scholarship is to inspire students to reach new heights academically and to give them the opportunity to contribute meaningfully to society through their education.</t>
  </si>
  <si>
    <t>http://bighelp.org/bhp/site/scholarships</t>
  </si>
  <si>
    <t>1. Visit the official Bighelp for Education website and navigate to the Scholarships section.
2. Review the eligibility criteria and ensure that you meet the academic and financial requirements.
3. Download the application form or apply online through the portal.
4. Fill out the form with necessary details such as academic performance, family income, and personal information.
5. Attach the required documents, including your 10th-grade mark sheet and income certificate.
6. Submit the completed application form before the deadline.
7. Await communication from the scholarship committee regarding your selection.</t>
  </si>
  <si>
    <t>1. Completed application form.
2. Copy of 10th-grade mark sheet.
3. Income certificate or proof of financial status.
4. Recent passport-sized photograph.
5. Recommendation letter from a school principal or teacher.
6. Proof of enrollment in a higher secondary school or college.</t>
  </si>
  <si>
    <t>https://youtu.be/DYSKtj4pJxU?si=Tz03D07I2LHLAFGo</t>
  </si>
  <si>
    <t>91-40-12345678</t>
  </si>
  <si>
    <t>Bighelp for Education,
[Address of the organization, if available]
India</t>
  </si>
  <si>
    <t xml:space="preserve">scholarships@bighelp.org </t>
  </si>
  <si>
    <t>The Bigyani Kanya Medha Britti Scholarship is an initiative by the Jagadis Bose National Science Talent Search (JBNSTS) to support and encourage meritorious girl students in West Bengal. This scholarship aims to promote higher education in the fields of science, engineering, and medicine among talented young women. It is awarded to girls who have successfully passed their Higher Secondary (10+2) examination and are pursuing undergraduate courses in these fields. By offering financial assistance, the scholarship aims to reduce the dropout rates among girls and motivate them to excel in their academic pursuits. The scholarship also provides additional benefits like career guidance, mentorship, and exposure to various scientific fields through seminars and workshops.</t>
  </si>
  <si>
    <t>The Bigyani Kanya Medha Britti Scholarship is a prestigious scholarship program under the Jagadis Bose National Science Talent Search (JBNSTS), specifically designed to support the educational ambitions of meritorious girl students in West Bengal. This scholarship is targeted at students who have passed their Higher Secondary Examination (10+2) and are enrolled in undergraduate programs in science, engineering, or medicine at recognized institutions. The scholarship offers financial assistance to help cover tuition fees and other educational expenses, thereby reducing the financial burden on families and encouraging girls to pursue higher education in STEM (Science, Technology, Engineering, Mathematics) fields. Along with monetary aid, the scholarship provides career guidance, personality development, and leadership training, helping students gain a competitive edge in their chosen careers. The JBNSTS conducts a selection process based on an aptitude test and interviews to identify candidates with the highest potential, ensuring that the most deserving students receive this support.</t>
  </si>
  <si>
    <t>https://jbnsts.ac.in/Home/sdgf8749854549sdf@sugfus.php</t>
  </si>
  <si>
    <t>1. Visit the JBNSTS website and navigate to the scholarship section.
2. Review the eligibility criteria and ensure you have completed your Higher Secondary (10+2) exam with a science background.
3. Fill out the online application form for the Bigyani Kanya Medha Britti Scholarship.
4. Submit the required documents, including academic certificates and personal information.
5. Appear for the aptitude test conducted by JBNSTS.
6. Shortlisted candidates will be called for an interview.
7. Successful candidates will receive notification about their selection for the scholarship.</t>
  </si>
  <si>
    <t>1. Completed application form.
2. Higher Secondary (10+2) mark sheet.
3. Proof of admission in a recognized undergraduate course (science, engineering, or medicine).
4. Recent passport-sized photograph.
5. Address proof and identity proof.
6. Any additional documents required by JBNSTS for verification.</t>
  </si>
  <si>
    <t>https://youtu.be/DYSKtj4pJxU?si=JzGBHeiIBUzUQmYb</t>
  </si>
  <si>
    <t>033 2442 8270</t>
  </si>
  <si>
    <t>Jagadis Bose National Science Talent Search
1300, Rajdanga Main Road
Kasba, Kolkata - 700107, West Bengal, India</t>
  </si>
  <si>
    <t>jbnsts [AT]  jbnsts. ac. In</t>
  </si>
  <si>
    <t>The Blind/PH Scholarship, Kerala is a government-funded initiative designed to provide financial support to students with visual impairment or other physical disabilities in the state of Kerala. This scholarship aims to enable students with disabilities to pursue their education without the financial burden that often comes with specialized resources and tools. It is available to students from primary to postgraduate levels, ensuring that they receive the necessary support throughout their academic journey. The scholarship seeks to promote inclusivity by ensuring equal access to education for differently-abled students, fostering a sense of independence, and enabling them to excel in their academic and professional lives.</t>
  </si>
  <si>
    <t>The Blind/PH Scholarship, Kerala is a vital support system for visually impaired and physically handicapped students, providing them with the financial assistance required to pursue education at various levels, from primary school to postgraduate studies. The Government of Kerala, through this scholarship, aims to reduce the barriers faced by differently-abled students in accessing quality education. The scholarship covers tuition fees, special aids and equipment, books, and other necessary resources that these students require for their education. In addition to financial support, students receive encouragement to participate in extracurricular activities and skill development programs that enhance their employability. The scholarship is part of Kerala's broader initiative to ensure inclusive education and equal opportunities for all students, regardless of their physical limitations. Eligible candidates are selected based on their academic performance and disability status, and the application process typically requires verification of disability through a medical certificate and proof of enrollment in an educational institution.</t>
  </si>
  <si>
    <t>https://collegiateedu.kerala.gov.in/?page_id=1193&amp;lang=ml</t>
  </si>
  <si>
    <t>1. Visit the Department of Social Justice website for Kerala.
2. Review the eligibility criteria, ensuring you have a certified disability and are enrolled in an educational institution.
3. Download or fill out the application form available online.
4. Submit the required documents, including proof of disability, academic records, and income certificate (if applicable).
5. Await approval and scholarship disbursement notification from the government.</t>
  </si>
  <si>
    <t>1. Completed application form.
2. Disability certificate issued by a government-recognized medical board.
3. Proof of admission or enrollment in an educational institution.
4. Academic transcripts or mark sheets.
5. Income certificate (if applicable).
6. Recent passport-sized photograph.</t>
  </si>
  <si>
    <t>https://youtu.be/VX1nFXCWdlQ?si=2dDLeQMhEIH2HH9X</t>
  </si>
  <si>
    <t>91-471-2306122</t>
  </si>
  <si>
    <t>Department of Social Justice,
4th Floor, Vikas Bhavan,
Thiruvananthapuram – 695033,
Kerala, India.</t>
  </si>
  <si>
    <t>dir.colledn@kerala.gov.in / dcedirectorate@gmail.com</t>
  </si>
  <si>
    <t>The Bloom Buddies Merit Cum Means Scholarship is a financial assistance program designed to support academically bright yet financially disadvantaged students in India. The scholarship aims to ensure that students from underprivileged backgrounds do not have to sacrifice their education due to financial constraints. It provides financial aid to cover tuition fees, books, and other educational expenses, helping students focus on their studies and achieve their academic goals. The scholarship is open to students across various academic streams, from secondary education to higher education, and is awarded based on a combination of academic merit and financial need. By offering this scholarship, Bloom Buddies seeks to encourage deserving students to pursue their dreams and contribute to society through their education.</t>
  </si>
  <si>
    <t>The Bloom Buddies Merit Cum Means Scholarship is a comprehensive scholarship program created to bridge the gap between academic talent and financial hardships. It is open to students at the secondary, higher secondary, and undergraduate levels who have demonstrated outstanding academic performance but come from economically weaker sections of society. The scholarship is designed to cover the costs of education, including tuition fees, study materials, and other related expenses, ensuring that deserving students can continue their studies without financial burden. Bloom Buddies recognizes that education is a fundamental right, and through this scholarship, it strives to provide equitable access to quality education for all, irrespective of financial background. The selection process for the scholarship is rigorous, involving academic evaluation and proof of financial need, ensuring that only the most deserving candidates receive the award. In addition to financial support, the scholarship also aims to foster a culture of academic excellence, encouraging recipients to continue achieving high standards in their educational pursuits.</t>
  </si>
  <si>
    <t>https://www.buddy4study.com/</t>
  </si>
  <si>
    <t>1. Visit the Bloom Buddies official website and go to the Scholarships section.
2. Review the eligibility criteria and ensure you meet both academic and financial need requirements.
3. Fill out the online application form, providing personal, academic, and financial information.
4. Upload the required documents, including academic transcripts, proof of income, and other relevant certificates.
5. Submit the application before the deadline and await confirmation of selection.</t>
  </si>
  <si>
    <t>1. Completed application form.
2. Academic transcripts or mark sheets.
3. Proof of family income (income certificate or salary slips).
4. Admission or enrollment certificate from an educational institution.
5. Proof of identity (Aadhaar card, passport, etc.).
6. Recent passport-sized photograph.</t>
  </si>
  <si>
    <t>https://youtu.be/MQU59DL-9HI?si=nzHIik8wNDj_opv2</t>
  </si>
  <si>
    <t>91-22-12345678</t>
  </si>
  <si>
    <t>info@buddy4study.com</t>
  </si>
  <si>
    <t>The Bob and Margaret Frater International Travel Scholarship is designed to support students in Australia pursuing international research or study opportunities. Established in honor of Bob and Margaret Frater, this scholarship offers financial assistance to students who wish to enhance their academic experience by traveling abroad for study programs, research, or professional development in their respective fields. It encourages students to engage in global learning experiences, fostering cross-cultural exchange and international collaboration. The scholarship is available for students across a variety of disciplines, and it aims to cultivate a broader understanding of their field of study by providing exposure to international expertise and resources.</t>
  </si>
  <si>
    <t>The Bob and Margaret Frater International Travel Scholarship is a prestigious award aimed at Australian students who are seeking to broaden their academic and professional horizons through international travel. This scholarship supports students who wish to undertake research, attend academic conferences, or participate in study programs abroad. Named after Bob and Margaret Frater, who were strong advocates for higher education and global knowledge exchange, the scholarship covers travel expenses, accommodation, and other related costs associated with studying or conducting research overseas. By facilitating opportunities for students to gain international exposure, the scholarship fosters intellectual growth, enhances professional networks, and promotes cultural awareness. The recipients of this scholarship are expected to return to Australia with enriched knowledge and insights that will benefit their academic progress and future careers. The selection process is competitive, focusing on academic merit, the potential impact of the proposed travel, and the applicant's commitment to their field of study.</t>
  </si>
  <si>
    <t>https://www.acu.edu.au/study-at-acu/fees-and-scholarships/find-a-scholarship/bob-and-margaret-frater-international-travel-scholarship</t>
  </si>
  <si>
    <t>1. Visit the official scholarship page for the Bob and Margaret Frater International Travel Scholarship.
2. Ensure you meet the eligibility criteria, including academic performance and proof of international study/research plans.
3. Complete the online application form, providing personal and academic details.
4. Submit a travel proposal outlining the purpose and benefits of the international program or research trip.
5. Upload necessary documents such as academic transcripts, letters of recommendation, and proof of enrollment.
6. Await confirmation and possible interview for shortlisted candidates.</t>
  </si>
  <si>
    <t>1. Completed application form.
2. Academic transcripts.
3. Proof of enrollment in a recognized academic institution.
4. Travel proposal or research plan.
5. Letters of recommendation (from academic supervisors or professionals in the field).
6. Valid passport and visa (if applicable).
7. Proof of financial need (if required).</t>
  </si>
  <si>
    <t>https://www.youtube.com/watch?v=sample</t>
  </si>
  <si>
    <t>61-2-1234-5678</t>
  </si>
  <si>
    <t>Scholarship Office,
[University/Institution Address, if applicable]
Australia.</t>
  </si>
  <si>
    <t>info@frater-scholarships.org</t>
  </si>
  <si>
    <t>The Book Bank for SC Students, Maharashtra is an initiative by the Government of Maharashtra aimed at providing educational support to Scheduled Caste (SC) students by offering them access to essential textbooks. This scheme is designed to alleviate the financial burden faced by students from economically disadvantaged backgrounds who may struggle to afford study materials. Under this program, book banks are established at various educational institutions where SC students can borrow textbooks for their academic courses. The initiative covers a wide range of disciplines, including science, engineering, medical, and other professional courses, ensuring that SC students can complete their education without worrying about the costs of textbooks. The scheme plays a crucial role in promoting higher education and academic success among SC students by providing them with the resources they need to excel in their studies.</t>
  </si>
  <si>
    <t>The Book Bank for SC Students, Maharashtra is a vital program developed by the state government to support the academic needs of Scheduled Caste students. The scheme focuses on providing textbooks and study materials to students pursuing higher education in fields such as medicine, engineering, law, and other professional courses. Each institution participating in the scheme maintains a "book bank" from which eligible SC students can borrow textbooks for their academic year. The initiative covers a broad range of subjects and disciplines, ensuring that students have access to the necessary learning materials without incurring additional expenses. The book bank operates on a loan basis, where students return the books after the academic year. This program plays a crucial role in empowering SC students by ensuring that the lack of financial resources does not hinder their educational progress. The government's efforts through this scheme aim to increase enrollment and retention rates of SC students in higher education, ultimately leading to better career opportunities.</t>
  </si>
  <si>
    <t>https://sjsa.maharashtra.gov.in/en/schemes-page?scheme_nature=33&amp;Submit=Submit&amp;page=2</t>
  </si>
  <si>
    <t>1. Visit the Social Justice Department of Maharashtra's official website.
2. Ensure you meet the eligibility criteria, including SC category and enrollment in a recognized educational institution.
3. Approach your educational institution’s designated office for the book bank facility.
4. Submit the required documents, such as your caste certificate and proof of enrollment.
5. Collect the textbooks from the institution’s book bank, as per availability.
6. Return the books at the end of the academic year.</t>
  </si>
  <si>
    <t>1. Caste certificate (proving Scheduled Caste status).
2. Proof of admission or enrollment in a recognized institution.
3. Academic transcripts or previous year's mark sheets.
4. Identity proof (Aadhaar card, etc.).
5. Recent passport-sized photograph.</t>
  </si>
  <si>
    <t>https://youtu.be/z4SLS_PrCtw?si=NfI-jBZ0pENLh6ke</t>
  </si>
  <si>
    <t>Social Justice and Special Assistance Department,
Government of Maharashtra,
Mumbai, Maharashtra.</t>
  </si>
  <si>
    <t>bookbank@sjsa.maharashtra.gov.in</t>
  </si>
  <si>
    <t>The Brazilian Government Scholarship aims to promote international educational cooperation by offering scholarships to foreign students to study in Brazil. This program is designed to enhance cultural exchange and foster ties between Brazil and other countries. Scholarships are available for various academic programs, including undergraduate, graduate, and doctoral degrees across multiple disciplines. By providing financial assistance for tuition, living expenses, and travel, the Brazilian Government seeks to attract talented students worldwide, contributing to Brazil’s academic community. Recipients have the opportunity to immerse themselves in Brazil’s rich culture, language, and academic environment while gaining valuable knowledge and skills.</t>
  </si>
  <si>
    <t>The Brazilian Government Scholarship is a prestigious initiative aimed at international students seeking to pursue higher education in Brazil. This scholarship program offers financial assistance covering tuition fees, living costs, and other expenses for students enrolled in Brazilian universities. The scholarships are available for various academic levels, including undergraduate, master's, and doctoral programs, across a diverse range of fields, from sciences and arts to social sciences and engineering. By attracting international talent, the Brazilian Government aims to foster cultural exchange and enhance the educational landscape of the country. Scholars are encouraged to engage in research projects and community initiatives, promoting academic excellence and cross-cultural collaboration. The selection process is competitive and focuses on academic merit, the relevance of the chosen field to Brazil’s development, and the potential impact of the scholarship on the recipient's career. Recipients not only gain access to quality education but also experience the vibrant Brazilian culture, contributing to their personal and professional growth.</t>
  </si>
  <si>
    <t>https://www.scholarshipsforstudy.com/brazil-government-scholarships.html</t>
  </si>
  <si>
    <t>1. Visit the official Brazilian Government scholarship page.
2. Review eligibility criteria and available programs.
3. Complete the online application form and submit required documents.
4. Provide academic transcripts and letters of recommendation.
5. Await confirmation of acceptance and scholarship details.</t>
  </si>
  <si>
    <t>1. Academic transcripts.
2. Letters of recommendation.
3. Proof of language proficiency (if required).
4. Valid passport.
5. Completed application form.</t>
  </si>
  <si>
    <t>https://youtube.com/shorts/-L4JO4vgKEE?si=6EkaNVNySixMOdhz</t>
  </si>
  <si>
    <t>55-11-1234-5678</t>
  </si>
  <si>
    <t>Ministry of Foreign Affairs,
Brazil.</t>
  </si>
  <si>
    <t>info@brazilian-scholarships.gov.br</t>
  </si>
  <si>
    <t>The British Council GREAT Education Full Scholarships are awarded to international students from specific countries pursuing postgraduate studies in the United Kingdom. This scholarship program aims to enhance educational opportunities for students while fostering a global learning community. It covers tuition fees and provides a stipend for living expenses, enabling students to focus entirely on their studies. By offering these scholarships, the British Council seeks to strengthen cultural ties and promote the UK as a leading study destination. Recipients gain access to high-quality education and the chance to immerse themselves in British culture, contributing to their academic and personal growth.</t>
  </si>
  <si>
    <t>The British Council GREAT Education Full Scholarships are highly competitive awards aimed at international students aspiring to study postgraduate courses in the UK. Funded by the British Council, these scholarships cover full tuition fees and provide a generous stipend for living expenses, making it financially feasible for students from developing countries to pursue their academic goals. The scholarship program is designed to attract talented individuals who demonstrate academic excellence, leadership potential, and a commitment to their chosen field of study. Recipients benefit not only from world-class education but also from exposure to a diverse cultural environment in the UK. The scholarship encourages students to engage in extracurricular activities, networking opportunities, and community involvement, enhancing their overall educational experience. The selection process considers academic achievements, personal statements, and references, ensuring that only the most deserving candidates receive this prestigious award. The GREAT Education Scholarships aim to empower future leaders by providing them with the tools they need to succeed in their careers.</t>
  </si>
  <si>
    <t>British Council GREAT Scholarships</t>
  </si>
  <si>
    <t>1. Visit the British Council's official scholarship page.
2. Check the eligibility criteria and list of participating universities.
3. Complete the online application form and submit required documents.
4. Prepare and upload your personal statement and academic references.
5. Await confirmation of selection.</t>
  </si>
  <si>
    <t>1. Academic transcripts.
2. Personal statement.
3. References/letters of recommendation.
4. Proof of English language proficiency.
5. Completed application form.</t>
  </si>
  <si>
    <t>44-20-1234-5678</t>
  </si>
  <si>
    <t>British Council,
London, UK.</t>
  </si>
  <si>
    <t xml:space="preserve">info@britishcouncil.org </t>
  </si>
  <si>
    <t>The BTSE (Bihar Talent Search Examination) is an initiative by the Government of Bihar to identify and nurture talented students in the state. This examination aims to encourage academic excellence among students in grades 5 to 12 by providing scholarships and recognition for their achievements. Through this program, students are motivated to excel in their studies and pursue higher education with financial assistance. The BTSE promotes educational development in Bihar by fostering a competitive spirit among students and recognizing their potential. Winners of the examination receive scholarships that can help cover their educational expenses, paving the way for a brighter future.</t>
  </si>
  <si>
    <t>The BTSE Bihar Talent Search Examination is a statewide initiative designed to identify and reward academically gifted students in Bihar. Conducted annually, the examination targets students from grades 5 to 12, providing them with a platform to showcase their academic abilities in subjects like mathematics, science, and social studies. By participating in the BTSE, students have the opportunity to win scholarships that can significantly alleviate the financial burden of their education. The examination not only serves as a tool for recognizing talent but also aims to foster a culture of academic excellence within the state. Winners are awarded scholarships based on their performance, which can be utilized for further education expenses, including tuition fees, books, and other study materials. The BTSE also encourages students to engage in competitive studies and develop a strong foundation for future academic pursuits. The selection process is based on merit, with students being evaluated through a series of tests that assess their knowledge and problem-solving skills.</t>
  </si>
  <si>
    <t>https://nbsachiver.com/bihar-talent-search-exam-2022-2023/</t>
  </si>
  <si>
    <t>1. Visit the BTSE official website.
2. Check eligibility criteria for participating students.
3. Complete the online application form and provide necessary details.
4. Prepare for the examination by accessing study materials and previous question papers.
5. Attend the examination on the scheduled date.</t>
  </si>
  <si>
    <t>1. Proof of age (birth certificate or school ID).
2. School enrollment certificate.
3. Identity proof (Aadhaar card or similar).
4. Recent passport-sized photograph.</t>
  </si>
  <si>
    <t>https://youtu.be/TlDHuFtw-V8?si=Pb8j9wlLC1HzLfgR</t>
  </si>
  <si>
    <t>91-61-2345-6789</t>
  </si>
  <si>
    <t>Department of Education,
Bihar Government,
Patna, Bihar.</t>
  </si>
  <si>
    <t>btse@bihar.gov.in</t>
  </si>
  <si>
    <t>The Carole Stone Foundation Scholarship is an initiative designed to support students pursuing higher education, particularly in the fields of journalism and communication. This scholarship is aimed at promoting excellence in these fields by providing financial assistance to talented individuals from diverse backgrounds. The foundation seeks to empower students with the necessary resources to achieve their educational goals while fostering a commitment to social responsibility and community engagement. Recipients of this scholarship benefit from financial support that covers tuition fees and related educational expenses, enabling them to focus on their studies and career aspirations.</t>
  </si>
  <si>
    <t>The Carole Stone Foundation Scholarship is a prestigious award aimed at students who are dedicated to pursuing careers in journalism, media, and communication. Established by the Carole Stone Foundation, the scholarship seeks to promote diversity and excellence within these fields by providing financial support to deserving candidates. The foundation believes that a strong media landscape is vital for a democratic society, and therefore invests in the education of future leaders in journalism. Recipients of the scholarship receive funding to cover tuition fees and related educational costs, allowing them to concentrate on their studies without the burden of financial strain. The selection process is rigorous, focusing on academic merit, demonstrated passion for journalism, and a commitment to social justice and community service. In addition to financial support, the foundation also provides networking opportunities and mentorship programs for scholarship recipients, facilitating their growth and professional development in the media landscape.</t>
  </si>
  <si>
    <t>https://www.oneyoungworld.com/carole-stone-foundation-scholarship-2019</t>
  </si>
  <si>
    <t>1. Visit the Carole Stone Foundation's official website.
2. Review the eligibility criteria and application guidelines.
3. Complete the online application form and submit required documents.
4. Provide a personal statement detailing your interest in journalism and community service.
5. Await confirmation of selection and potential interviews.</t>
  </si>
  <si>
    <t>1. Academic transcripts.
2. Personal statement.
3. Letters of recommendation.
4. Proof of enrollment in a journalism or communication program.
5. Completed application form.</t>
  </si>
  <si>
    <t>Carole Stone Foundation,
London, UK.</t>
  </si>
  <si>
    <t>info@carolestonefoundation.org</t>
  </si>
  <si>
    <t>The Central Sector Scheme of Scholarship for College and University Students is an initiative by the Government of India aimed at providing financial assistance to economically disadvantaged students pursuing higher education. This scholarship scheme targets students from low-income families and is designed to ensure that financial constraints do not hinder their pursuit of academic excellence. The program provides scholarships to students enrolled in various professional and non-professional courses at recognized institutions across the country. By promoting higher education and reducing dropout rates, this scheme contributes to the overall development of society and the empowerment of students from marginalized communities.</t>
  </si>
  <si>
    <t>The Central Sector Scheme of Scholarship for College and University Students is a significant initiative by the Government of India, aimed at financially supporting students from economically weaker sections who wish to pursue higher education. The scheme targets students enrolled in undergraduate and postgraduate courses in recognized colleges and universities across India. Each year, scholarships are awarded based on merit, with specific criteria to ensure that students from low-income backgrounds receive assistance. The scholarship covers tuition fees and provides a stipend for living expenses, enabling students to focus on their studies without the burden of financial stress. The program aims to enhance enrollment and retention rates among underprivileged students, thereby contributing to the overall growth and development of society. By investing in education, the scheme seeks to empower individuals and promote social equity, ensuring that every deserving student has the opportunity to achieve their academic aspirations.</t>
  </si>
  <si>
    <t>https://scholarships.gov.in/</t>
  </si>
  <si>
    <t>1. Visit the official scholarship portal.
2. Register and create an account.
3. Complete the online application form and provide necessary details.
4. Upload required documents, including income certificates and academic records.
5. Submit the application before the deadline.</t>
  </si>
  <si>
    <t>1. Income certificate of the family.
2. Academic transcripts.
3. Proof of admission to a recognized college or university.
4. Identity proof (Aadhaar card, etc.).
5. Recent passport-sized photograph.</t>
  </si>
  <si>
    <t>https://youtu.be/qD8dN7i-zHw?si=afXPslSjCXl_-SNW</t>
  </si>
  <si>
    <t>91-11-1234-5678</t>
  </si>
  <si>
    <t>Ministry of Education,
Government of India,
New Delhi.</t>
  </si>
  <si>
    <t>scholarships@education.gov.in</t>
  </si>
  <si>
    <t>The Chandigarh Post-Matric Scholarship for Transgender Students aims to provide financial support to transgender students pursuing post-matriculation education. This initiative recognizes the challenges faced by transgender individuals in accessing education and seeks to promote their inclusion and empowerment through education. The scholarship covers tuition fees, accommodation, and other educational expenses, thereby reducing the financial burden on students. By offering this scholarship, the Chandigarh administration aims to foster a more inclusive society and encourage transgender individuals to pursue higher education and vocational training. This initiative is part of a broader effort to ensure equal opportunities and improve the quality of life for transgender communities in Chandigarh.</t>
  </si>
  <si>
    <t>The Chandigarh Post-Matric Scholarship for Transgender Students is a vital initiative launched by the Chandigarh administration to provide financial assistance to transgender individuals who are pursuing post-matriculation education. Aimed at promoting education among marginalized communities, this scholarship covers various expenses, including tuition fees, hostel charges, and other educational costs. By facilitating access to higher education, the program seeks to empower transgender students and help them achieve their academic and career goals. The application process is straightforward, requiring students to submit relevant documents to prove their identity and academic enrollment. The scholarship not only aids in reducing financial barriers but also contributes to fostering an inclusive and equitable educational environment in Chandigarh. Recipients of the scholarship are encouraged to utilize their education for personal development and to contribute positively to society.</t>
  </si>
  <si>
    <t>https://chandigarh.gov.in/</t>
  </si>
  <si>
    <t>1. Visit the Chandigarh Government scholarship portal.
2. Register and create an account.
3. Complete the online application form with required details.
4. Upload necessary documents such as identity proof and academic records.
5. Submit the application before the specified deadline.</t>
  </si>
  <si>
    <t>1. Identity proof (Aadhaar card, etc.).
2. Academic records.
3. Proof of transgender identity (if applicable).
4. Income certificate (if required).
5. Recent passport-sized photograph.</t>
  </si>
  <si>
    <t>https://youtu.be/HM22WDhz-xI?si=4ADquHpvCXTrzPZs</t>
  </si>
  <si>
    <t>91-172-1234-5678</t>
  </si>
  <si>
    <t>Chandigarh Administration,
Chandigarh, India.</t>
  </si>
  <si>
    <t>info@chandigarh.gov.in</t>
  </si>
  <si>
    <t>The Chandigarh University Scholarship and Admission Test (CU-SAT) is a comprehensive examination aimed at selecting deserving students for various undergraduate and postgraduate programs at Chandigarh University. This test provides an opportunity for students to demonstrate their academic capabilities and secure financial assistance through scholarships. CU-SAT is designed to encourage excellence in education and to make quality higher education accessible to students from diverse backgrounds. The scholarships awarded through this test help cover tuition fees and other expenses, thus facilitating students' educational journeys. The initiative reflects Chandigarh University's commitment to fostering academic talent and providing financial support to deserving candidates.</t>
  </si>
  <si>
    <t>The Chandigarh University Scholarship and Admission Test (CU-SAT) is a pivotal examination that assesses the academic potential of students aspiring to enroll in various programs at Chandigarh University. The test evaluates candidates based on their knowledge, skills, and aptitude, providing a platform for them to secure scholarships based on merit. Scholarships awarded through CU-SAT help alleviate financial burdens by covering a significant portion of tuition fees, thereby making higher education more accessible. Chandigarh University offers a range of scholarships for different programs, ensuring that talented students from all backgrounds have the opportunity to pursue their academic goals. The CU-SAT not only promotes academic excellence but also encourages students to engage in various extracurricular activities, enhancing their overall educational experience. The selection process is transparent, focusing on merit and providing equal opportunities for all applicants.</t>
  </si>
  <si>
    <t>https://www.cuchd.in/scholarship/</t>
  </si>
  <si>
    <t>1. Visit the Chandigarh University official website.
2. Register for CU-SAT and fill out the application form.
3. Prepare for the CU-SAT examination.
4. Attend the examination on the scheduled date.
5. Await the announcement of results and scholarship allocations.</t>
  </si>
  <si>
    <t>1. Academic transcripts.
2. Identity proof (Aadhaar card, etc.).
3. Passport-sized photograph.
4. Completed application form.</t>
  </si>
  <si>
    <t>https://youtu.be/NmxTFT0LeYM?si=UN8Ta_GARorLR9df</t>
  </si>
  <si>
    <t>91-160-1234-5678</t>
  </si>
  <si>
    <t>Chandigarh University,
Gharuan, Punjab, India.</t>
  </si>
  <si>
    <t>admissions@cumail.in</t>
  </si>
  <si>
    <t>The Coal India Limited Scholarship is a financial assistance program designed to support the education of children of employees working in Coal India Limited (CIL) and other eligible beneficiaries. This scholarship initiative aims to promote educational opportunities for students from economically disadvantaged backgrounds and ensure their academic pursuits are not hindered by financial constraints. The program provides scholarships for various levels of education, including school and college, covering tuition fees and other related expenses. By investing in education, Coal India Limited aims to empower the future generations of its employees and contribute to the overall development of the community.</t>
  </si>
  <si>
    <t>The Coal India Limited Scholarship program is an initiative aimed at providing financial support to the children of CIL employees and eligible students in India. This scholarship is intended to alleviate the financial burden on families and encourage academic excellence among students from low-income backgrounds. The scholarship covers tuition fees and other educational expenses for students at different educational levels, including secondary and higher education. The application process involves submitting necessary documents to verify eligibility, and the selection is based on merit and financial need. By promoting education, Coal India Limited seeks to create a more educated workforce and improve the quality of life for its employees and their families. The scholarship program not only enhances access to education but also fosters a sense of community and social responsibility within the organization.</t>
  </si>
  <si>
    <t>https://www.coalindia.in/</t>
  </si>
  <si>
    <t>1. Visit the official Coal India Limited scholarship portal.
2. Review eligibility criteria and application guidelines.
3. Complete the online application form and submit required documents.
4. Await confirmation and follow up for any additional steps.</t>
  </si>
  <si>
    <t>1. Proof of employment of the parent in Coal India Limited.
2. Academic records of the applicant.
3. Identity proof (Aadhaar card, etc.).
4. Income certificate (if required).</t>
  </si>
  <si>
    <t>https://youtu.be/6K0-IqqgFD4?si=LmKt5CGGNV4xNx1Q</t>
  </si>
  <si>
    <t>91-33-1234-5678</t>
  </si>
  <si>
    <t>Coal India Limited,
Kolkata, India.</t>
  </si>
  <si>
    <t>scholarships@coalindia.in</t>
  </si>
  <si>
    <t>The Colgate Scholarship is a competitive scholarship program designed to support students pursuing education in various fields. This scholarship aims to foster academic excellence and community engagement among students from diverse backgrounds. Colgate offers financial assistance to deserving candidates, helping to alleviate the burden of tuition fees and other educational expenses. The program also encourages students to develop leadership skills and contribute positively to their communities. By investing in education, Colgate seeks to empower future leaders who can make a meaningful impact in their fields and society at large.</t>
  </si>
  <si>
    <t>The Colgate Scholarship program is an initiative aimed at providing financial support to students pursuing higher education. Designed to promote academic excellence and social responsibility, the scholarship targets individuals from various backgrounds who demonstrate exceptional potential and a commitment to their studies. Recipients of the scholarship benefit from financial assistance that covers tuition fees and related educational costs, enabling them to focus on their academic pursuits without financial worries. The selection process is competitive, emphasizing academic merit, leadership potential, and community involvement. Through this scholarship program, Colgate aims to nurture the next generation of leaders, encouraging them to give back to their communities and contribute to positive change in society.</t>
  </si>
  <si>
    <t>https://www.colgate.com/en-in/smile-karo-aur-shuru-ho-jao/foundation-scholarship</t>
  </si>
  <si>
    <t>1. Visit the Colgate scholarship page.
2. Review eligibility criteria and application requirements.
3. Complete the online application form and submit required documents.
4. Provide a personal statement outlining your academic goals and community service.
5. Await confirmation of selection and scholarship details.</t>
  </si>
  <si>
    <t>1. Academic transcripts.
2. Personal statement.
3. Letters of recommendation.
4. Identity proof (Aadhaar card, etc.).</t>
  </si>
  <si>
    <t>https://youtu.be/ITIGxmV_x-g?si=f8waJkBx8Ln1vUL-</t>
  </si>
  <si>
    <t>1-800-123-4567</t>
  </si>
  <si>
    <t xml:space="preserve">Colgate-Palmolive Company,
New York, USA.
</t>
  </si>
  <si>
    <t>scholarships@colgate.com</t>
  </si>
  <si>
    <t>The College of Law and Business Scholarship for Indian Students aims to support talented Indian students pursuing higher education in Israel. This scholarship program is designed to promote academic excellence and enhance cross-cultural exchange between India and Israel. By providing financial assistance, the scholarship helps cover tuition fees and living expenses, making it easier for students to focus on their studies and adapt to a new environment. The initiative reflects the commitment of the College of Law and Business to foster a diverse and inclusive academic community and to empower students from underrepresented backgrounds.</t>
  </si>
  <si>
    <t>The College of Law and Business Scholarship for Indian Students is an initiative aimed at providing financial support to outstanding Indian students pursuing higher education in Israel. This scholarship covers tuition fees and living expenses, enabling students to immerse themselves fully in their studies and the cultural experience of studying abroad. The program encourages academic excellence and aims to foster collaboration and understanding between Indian and Israeli students. The selection process emphasizes academic achievement, leadership potential, and a commitment to community service. By supporting talented students, the College of Law and Business seeks to contribute to the global exchange of ideas and knowledge while empowering future leaders in various fields.</t>
  </si>
  <si>
    <t>https://clb.ac.il/</t>
  </si>
  <si>
    <t>1. Visit the College of Law and Business official scholarship page.
2. Review eligibility criteria and application guidelines.
3. Complete the online application form and submit required documents.
4. Provide a personal statement and letters of recommendation.
5. Await confirmation of selection and scholarship details.</t>
  </si>
  <si>
    <t>972-3-1234-5678</t>
  </si>
  <si>
    <t xml:space="preserve">College of Law and Business,
Ramat Gan, Israel.
</t>
  </si>
  <si>
    <t>info@clb.ac.il</t>
  </si>
  <si>
    <t>The Comix Competition is an international contest aimed at promoting creativity and artistic expression through comic art. This competition invites participants from various backgrounds to showcase their storytelling abilities and artistic skills in comic form. By encouraging creativity in visual storytelling, the Comix Competition fosters a global community of artists and storytellers. Participants can gain recognition for their work, receive valuable feedback from industry professionals, and potentially earn scholarships or cash prizes. This initiative aims to highlight the importance of comics as a medium for expression and cultural exchange among diverse communities worldwide.</t>
  </si>
  <si>
    <t>The Comix Competition serves as an international platform for aspiring comic artists and storytellers to exhibit their talent and creativity. Open to participants of all ages and backgrounds, the competition encourages submissions of original comic strips or graphic novels that reflect unique narratives and artistic styles. By participating, artists can gain exposure and recognition in the global comic community while competing for scholarships, prizes, and publication opportunities. The competition emphasizes the importance of storytelling through visuals and aims to foster a vibrant creative environment that inspires participants to push the boundaries of their artistic capabilities. Selected works are often showcased in exhibitions or published in anthologies, further promoting the artists' careers.</t>
  </si>
  <si>
    <t>https://www.comixcompetition.org/</t>
  </si>
  <si>
    <t>1. Visit the official Comix Competition website.
2. Review the competition guidelines and eligibility criteria.
3. Prepare your comic submission according to the specified requirements.
4. Complete the online application form and upload your comic.
5. Submit the application before the deadline.</t>
  </si>
  <si>
    <t>1. Original comic submission.
2. Artist's bio or statement.
3. Contact information.</t>
  </si>
  <si>
    <t>https://youtu.be/cSgFLOc-OdQ?si=Q0Dgx1qj8g_mCtTr</t>
  </si>
  <si>
    <t>Comix Competition Headquarters,
[City, Country].</t>
  </si>
  <si>
    <t>info@comixcompetition.org</t>
  </si>
  <si>
    <t>The Consolidated Stipend Scheme for SC Students in Haryana is designed to provide financial assistance to students belonging to Scheduled Castes (SC) who are pursuing higher education. This initiative aims to promote educational opportunities for marginalized communities and ensure that financial constraints do not hinder their academic progress. The scheme covers various educational expenses, including tuition fees, books, and other necessary costs. By offering this support, the Haryana government seeks to empower SC students, foster academic excellence, and contribute to their overall development in society.</t>
  </si>
  <si>
    <t>The Consolidated Stipend Scheme for SC Students in Haryana is a significant initiative aimed at alleviating the financial burdens faced by students from Scheduled Castes pursuing higher education. The scheme provides stipends that cover a range of educational expenses, including tuition fees, textbooks, and other related costs, thus encouraging students to continue their studies without financial worries. The application process is straightforward, requiring students to submit relevant documents to verify their caste and academic enrollment. By investing in the education of SC students, the Haryana government aims to create equal opportunities and promote social equity within the education system. The program not only facilitates access to education but also helps improve the overall socio-economic status of SC communities.</t>
  </si>
  <si>
    <t>https://haryanawelfare.gov.in/</t>
  </si>
  <si>
    <t>1. Visit the official Haryana government scholarship portal.
2. Register and create an account.
3. Complete the online application form with necessary details.
4. Upload relevant documents, including caste certificate and academic records.
5. Submit the application before the specified deadline.</t>
  </si>
  <si>
    <t>1. Caste certificate.
2. Academic records.
3. Income certificate.
4. Identity proof (Aadhaar card, etc.).</t>
  </si>
  <si>
    <t>https://youtu.be/oUvu_xND9lo?si=6_8urWIgj9j59zlk</t>
  </si>
  <si>
    <t>91-171-1234-5678</t>
  </si>
  <si>
    <t xml:space="preserve">Department of Welfare of SCs and BCs,
Haryana, India.
</t>
  </si>
  <si>
    <t>info@haryanawelfare.gov.in</t>
  </si>
  <si>
    <t>The Cultural Talent Search Scholarship Scheme is an initiative aimed at identifying and nurturing cultural talents among students across India. This scheme encourages young individuals to showcase their skills in various cultural activities, including music, dance, drama, and visual arts. By providing financial assistance to deserving candidates, the scholarship aims to promote cultural education and ensure that talented students can pursue their artistic passions. The initiative reflects the government's commitment to fostering cultural diversity and preserving traditional arts while empowering youth to excel in their chosen fields.</t>
  </si>
  <si>
    <t>The Cultural Talent Search Scholarship Scheme is a significant program designed to recognize and support students with exceptional talents in various cultural disciplines. Through this initiative, the government seeks to encourage artistic expression among youth and promote the importance of cultural heritage. Scholarships are awarded based on merit, enabling talented individuals to pursue their passion for arts and culture without financial constraints. The selection process includes auditions and assessments to identify promising candidates, and recipients receive financial support to further their training and education in their respective fields. This scholarship not only empowers students but also contributes to the enrichment of the cultural landscape in India.</t>
  </si>
  <si>
    <t>https://www.indiaculture.gov.in/</t>
  </si>
  <si>
    <t>1. Visit the official scholarship website.
2. Review eligibility criteria and application guidelines.
3. Complete the online application form and submit necessary details.
4. Attend auditions or assessments as required.
5. Await confirmation of scholarship selection.</t>
  </si>
  <si>
    <t>1. Proof of cultural talent (videos, photographs, etc.).
2. Academic transcripts.
3. Identity proof (Aadhaar card, etc.).
4. Recommendation letters (if required).</t>
  </si>
  <si>
    <t>https://youtu.be/0Wcx_XJP-Y8?si=-rzeeZbdio0Mt2g9</t>
  </si>
  <si>
    <t>Ministry of Culture,
Government of India.</t>
  </si>
  <si>
    <t>info@indiaculture.gov.in</t>
  </si>
  <si>
    <t>The DAIICT Admission Cum Scholarship is a unique program offered by the Dhirubhai Ambani Institute of Information and Communication Technology (DAIICT) to support talented students in pursuing higher education in the fields of information technology and communication. This initiative combines admission to various undergraduate and postgraduate programs with scholarship opportunities based on academic performance and entrance examination results. By offering financial assistance, DAIICT aims to attract and nurture bright minds who can contribute to the advancement of technology and innovation. The program reflects the institute's commitment to fostering academic excellence and providing equal opportunities for deserving candidates.`</t>
  </si>
  <si>
    <t>The DAIICT Admission Cum Scholarship program serves as an excellent opportunity for aspiring students to gain admission into one of India’s premier institutes for information and communication technology while receiving financial support. The scholarship is awarded based on the performance in the entrance examination and prior academic achievements, ensuring that deserving candidates are recognized and supported. Students receiving the scholarship benefit from reduced tuition fees, making quality education more accessible. DAIICT is dedicated to promoting research, innovation, and technological advancements, and this initiative plays a crucial role in attracting talented individuals who can excel in their chosen fields. The application process is streamlined, focusing on merit and encouraging students from diverse backgrounds to apply.</t>
  </si>
  <si>
    <t>https://www.daiict.ac.in/</t>
  </si>
  <si>
    <t>1. Visit the official DAIICT website.
2. Register for the entrance examination.
3. Complete the application form for admission and scholarship.
4. Submit required documents and await results.
5. Follow up for scholarship allocation after admission.</t>
  </si>
  <si>
    <t>1. Academic transcripts.
2. Entrance exam scorecard.
3. Identity proof (Aadhaar card, etc.).
4. Passport-sized photograph.</t>
  </si>
  <si>
    <t>https://youtu.be/V4tCb_Ed0MU?si=CTouZaY5RtzT2-8H</t>
  </si>
  <si>
    <t>91-792-1234-5678</t>
  </si>
  <si>
    <t>Dhirubhai Ambani Institute of Information and Communication Technology,
Gandhinagar, Gujarat, India.</t>
  </si>
  <si>
    <t>info@daiict.ac.in</t>
  </si>
  <si>
    <t>The Deakin India Merit Scholarship is designed to encourage Indian students to pursue higher education at Deakin University, Australia. This scholarship recognizes and rewards academic excellence among students applying for undergraduate and postgraduate programs. By offering financial assistance, Deakin University aims to make quality education more accessible to talented students from India. The scholarship not only alleviates the financial burden of studying abroad but also enhances the overall experience of international education by fostering a diverse and inclusive environment. This initiative reflects Deakin's commitment to supporting global education and promoting cross-cultural exchange.</t>
  </si>
  <si>
    <t>The Deakin India Merit Scholarship provides significant financial support to high-achieving Indian students seeking admission to various programs at Deakin University. The scholarship is awarded based on academic merit, encouraging students to excel in their studies and contributing to a diverse educational landscape. Recipients of the scholarship can benefit from a reduction in tuition fees, making it more feasible to pursue their desired course of study in Australia. In addition to financial aid, Deakin University offers a supportive environment for international students, including access to various resources and services that enhance academic and personal growth. This scholarship not only serves as an acknowledgment of students' hard work but also encourages them to contribute positively to the global community through their academic pursuits.</t>
  </si>
  <si>
    <t>https://www.deakin.edu.au/study/fees-and-scholarships/scholarships/find-a-scholarship/deakin-india-25-merit-scholarship</t>
  </si>
  <si>
    <t>1. Visit the Deakin University scholarship page.
2. Review eligibility criteria for the Deakin India Merit Scholarship.
3. Complete the application form for admission to Deakin University.
4. Indicate your interest in the scholarship during the application process.
5. Submit all required documents before the deadline.</t>
  </si>
  <si>
    <t>1. Academic transcripts.
2. Proof of English proficiency (IELTS, TOEFL, etc.).
3. A personal statement or scholarship essay.
4. Identity proof (passport, etc.).</t>
  </si>
  <si>
    <t>61-3-9244-6100</t>
  </si>
  <si>
    <t>Deakin University,
Melbourne, Australia.</t>
  </si>
  <si>
    <t xml:space="preserve">international@deakin.edu.au </t>
  </si>
  <si>
    <t>The Dhirubhai Ambani Scholarship Programme aims to empower talented students from economically disadvantaged backgrounds to pursue higher education in various fields. This scholarship is named after the esteemed Indian industrialist Dhirubhai Ambani, reflecting his vision of nurturing young talent. The program provides financial assistance to meritorious students, ensuring that financial constraints do not hinder their academic aspirations. By supporting education, the initiative strives to create opportunities for students and contribute to the development of a skilled workforce in India.</t>
  </si>
  <si>
    <t>The Dhirubhai Ambani Scholarship Programme is an initiative focused on recognizing and supporting deserving students from economically weaker sections of society. The scholarship covers various educational expenses, including tuition fees, textbooks, and living costs, allowing students to focus on their studies without financial burdens. Eligible candidates are selected based on their academic performance, entrance examination scores, and financial need. The program not only aims to provide financial support but also encourages students to excel in their chosen fields, ultimately contributing to the nation's growth. By fostering talent and providing access to quality education, the Dhirubhai Ambani Scholarship Programme plays a crucial role in empowering the youth and promoting social equality.</t>
  </si>
  <si>
    <t>https://reliancefoundation.org/</t>
  </si>
  <si>
    <t>1. Visit the Reliance Foundation scholarship page.
2. Review the eligibility criteria for the Dhirubhai Ambani Scholarship Programme.
3. Complete the online application form.
4. Upload required documents to support your application.
5. Submit your application before the deadline.</t>
  </si>
  <si>
    <t>1. Academic transcripts.
2. Income certificate.
3. Identity proof (Aadhaar card, etc.).
4. Recommendation letter (if required).</t>
  </si>
  <si>
    <t>https://youtu.be/HGqvSpmUh4A?si=v11VpZjrOyrrfnpF</t>
  </si>
  <si>
    <t>91-22-1234-5678</t>
  </si>
  <si>
    <t>Reliance Foundation,
Mumbai, India.</t>
  </si>
  <si>
    <t>scholarships@reliancefoundation.org</t>
  </si>
  <si>
    <t>The Digital India Internship Scheme is an initiative launched by the Government of India to provide internships to students and graduates in various fields related to digital governance and technology. This program aims to promote skill development and encourage young minds to contribute to the Digital India vision. By offering practical experience, the internship scheme enhances the employability of participants and prepares them for careers in the rapidly evolving digital landscape. The initiative reflects the government's commitment to harnessing youth potential in driving digital transformation and innovation.</t>
  </si>
  <si>
    <t>The Digital India Internship Scheme offers an exciting opportunity for students and young professionals to gain valuable experience in the field of digital technology and governance. Through this program, interns are placed in various government departments, ministries, and organizations working on digital initiatives. The internships provide hands-on exposure to real-world projects, enabling participants to apply their academic knowledge while developing essential skills. Interns receive mentorship from experienced professionals, enhancing their understanding of the digital ecosystem and contributing to the implementation of innovative solutions for public service. This initiative not only equips interns with practical knowledge but also empowers them to become agents of change in their communities, contributing to India's digital future.</t>
  </si>
  <si>
    <t>https://www.digitalindia.gov.in/</t>
  </si>
  <si>
    <t>1. Visit the official Digital India website.
2. Navigate to the internship section.
3. Review available internship opportunities and eligibility criteria.
4. Complete the online application form for the desired internship.
5. Submit your application and await communication from the concerned department.</t>
  </si>
  <si>
    <t>1. Updated resume or CV.
2. Academic transcripts.
3. Identity proof (Aadhaar card, etc.).
4. Statement of purpose or cover letter.</t>
  </si>
  <si>
    <t>https://youtu.be/Y-Aob4G-SM4?si=LmGMsESCTLvOHSYe</t>
  </si>
  <si>
    <t>Ministry of Electronics and Information Technology,
Government of India.</t>
  </si>
  <si>
    <t>info@digitalindia.gov.in</t>
  </si>
  <si>
    <t>The Dr. B.R. Ambedkar Post Matric Scholarship for Economically Backward Classes (EBC) in Tripura is aimed at promoting educational opportunities for students belonging to economically disadvantaged backgrounds. Named after Dr. B.R. Ambedkar, this scholarship seeks to empower students through financial assistance, ensuring that they can pursue their higher education without the burden of financial constraints. The scheme reflects the government's commitment to social justice and equality in education, allowing talented individuals from EBC families to achieve their academic aspirations.</t>
  </si>
  <si>
    <t>The Dr. B.R. Ambedkar Post Matric Scholarship for EBC Tripura provides essential financial support to students from economically backward communities who are pursuing post-matriculation education. This scholarship covers various educational expenses, including tuition fees, books, and other necessary costs, enabling students to focus on their studies and academic growth. The application process is designed to be straightforward, requiring students to submit necessary documents to verify their eligibility. By investing in the education of EBC students, the Tripura government aims to bridge the educational gap and promote equal opportunities for all. The scholarship not only facilitates access to higher education but also encourages recipients to contribute positively to society, thereby fostering an inclusive and equitable educational environment.</t>
  </si>
  <si>
    <t>https://tripurascholarship.in/</t>
  </si>
  <si>
    <t>1. Visit the official Tripura scholarship portal.
2. Register on the portal and create an account.
3. Complete the online application form for the scholarship.
4. Upload required documents and submit the application.
5. Await confirmation and follow up for scholarship allocation.</t>
  </si>
  <si>
    <t>1. Caste certificate.
2. Income certificate.
3. Academic records.
4. Identity proof (Aadhaar card, etc.).</t>
  </si>
  <si>
    <t>https://youtu.be/xDMDHBt8gGk?si=wJLetGkscASCy1cQ</t>
  </si>
  <si>
    <t>91-381-1234-5678</t>
  </si>
  <si>
    <t>Department of Social Welfare and Social Education,
Tripura, India.</t>
  </si>
  <si>
    <t>info@tripurascholarship.in</t>
  </si>
  <si>
    <t>The Dr. N. Sitaraman Memorial Intercollegiate Chemistry Quiz Competition at NIT Calicut honors the legacy of Dr. N. Sitaraman, a revered figure in the field of chemistry education. This annual quiz competition aims to foster a spirit of inquiry and deepen knowledge in chemistry among undergraduate students from various colleges. It provides a platform for participants to showcase their understanding of chemical concepts and applications, promoting healthy competition and collaboration. The event emphasizes the importance of chemistry in scientific advancements and encourages students to engage with the subject beyond the classroom.</t>
  </si>
  <si>
    <t>The Dr. N. Sitaraman Memorial Intercollegiate Chemistry Quiz Competition is an esteemed event organized by the National Institute of Technology, Calicut, aimed at promoting academic excellence in the field of chemistry. Participants, primarily undergraduate students from various institutions, engage in a series of challenging quiz rounds that cover diverse topics in chemistry, including organic, inorganic, physical, and analytical chemistry. The competition not only tests participants' knowledge but also stimulates their critical thinking and problem-solving abilities. The quiz format encourages collaboration among students, fostering a community of learners passionate about chemistry. Winners are awarded prizes, and the event serves as a tribute to Dr. Sitaraman’s contributions to chemistry education, inspiring future generations of chemists.</t>
  </si>
  <si>
    <t>https://nitc.ac.in/</t>
  </si>
  <si>
    <t>1. Visit the NIT Calicut website for the quiz competition.
2. Check the eligibility criteria and event details.
3. Register your team through the provided online registration form.
4. Prepare for the quiz by studying various chemistry topics.
5. Participate in the event on the scheduled date.</t>
  </si>
  <si>
    <t>1. College identification proof.
2. Registration form.
3. Any other documents specified on the official website.</t>
  </si>
  <si>
    <t>91-495-2286-100</t>
  </si>
  <si>
    <t>National Institute of Technology Calicut,
Kerala, India.</t>
  </si>
  <si>
    <t xml:space="preserve">chemistryquiz@nitc.ac.in </t>
  </si>
  <si>
    <t>The Dr. Reddy’s Foundation Sashakt Scholarship aims to empower deserving students from economically disadvantaged backgrounds by providing financial assistance for their education. This initiative reflects Dr. Reddy’s Foundation's commitment to promoting education and skill development among the youth. The scholarship targets students pursuing higher education in various fields, ensuring that financial barriers do not hinder their academic aspirations. By supporting these students, the foundation aims to contribute to building a skilled and knowledgeable workforce that can drive change in society.</t>
  </si>
  <si>
    <t>The Dr. Reddy’s Foundation Sashakt Scholarship is designed to support meritorious students from underprivileged backgrounds in their pursuit of higher education. The scholarship provides financial assistance covering tuition fees, textbooks, and other educational expenses, allowing recipients to focus on their studies without financial strain. Eligible candidates are selected based on their academic performance, economic need, and commitment to community service. The foundation also offers mentorship and guidance to help scholarship recipients achieve their academic and career goals. By investing in education, the Sashakt Scholarship aims to empower students, enabling them to make meaningful contributions to their communities and the nation.</t>
  </si>
  <si>
    <t>https://drreddysfoundation.org/</t>
  </si>
  <si>
    <t>1. Visit the Dr. Reddy’s Foundation scholarship page.
2. Review the eligibility criteria for the Sashakt Scholarship.
3. Complete the online application form.
4. Submit necessary documents to support your application.
5. Await communication regarding your scholarship status.</t>
  </si>
  <si>
    <t>1. Academic transcripts.
2. Income certificate.
3. Recommendation letter (if applicable).
4. Identity proof (Aadhaar card, etc.).</t>
  </si>
  <si>
    <t>https://youtu.be/rDpuTfci0Mg?si=Bfz6YfqoCu8pLBA_</t>
  </si>
  <si>
    <t>91-40-2341-4111</t>
  </si>
  <si>
    <t>Dr. Reddy's Foundation,
Hyderabad, India.</t>
  </si>
  <si>
    <t>info@drreddysfoundation.org</t>
  </si>
  <si>
    <t>The DST and Texas Instruments India Innovation Challenge Design Contest aims to inspire engineering students to innovate and create impactful solutions using technology. This contest, supported by the Department of Science and Technology (DST) and Texas Instruments, encourages students to work on projects that address real-world challenges. By promoting hands-on learning and creativity, the contest seeks to foster a culture of innovation among young engineers. Participants have the opportunity to collaborate with industry professionals and receive mentorship, enhancing their skills and knowledge in design and development.</t>
  </si>
  <si>
    <t>The DST and Texas Instruments India Innovation Challenge Design Contest is a prestigious competition that invites engineering students from across India to showcase their innovative solutions to pressing societal problems. Participants are tasked with developing projects that leverage Texas Instruments' technology to create practical applications, encouraging them to think critically and creatively. The contest involves multiple stages, including project submission, prototype development, and final presentations. Selected teams benefit from mentorship and guidance from industry experts, helping them refine their ideas and enhance their technical skills. Winners receive scholarships, internships, and opportunities for further development, positioning them for successful careers in engineering and technology. This initiative not only promotes innovation but also contributes to the advancement of India's technological landscape.</t>
  </si>
  <si>
    <t>https://www.mygov.in/task/dst-and-texas-instruments-inc-india-innovation-challenge-design-contest-2018/</t>
  </si>
  <si>
    <t>1. Visit the official contest page.
2.Review the contest guidelines and eligibility criteria.
3.Form a team and register for the competition.
4.Submit your project proposal by the deadline.
5. Develop a prototype and present your project at the final event.</t>
  </si>
  <si>
    <t>1. Team registration form.
2. Project proposal.
3. Any additional documents specified in the contest guidelines.</t>
  </si>
  <si>
    <t>https://youtu.be/lQjy2Cdlhb8?si=9CGGlQoxRncr_ug_</t>
  </si>
  <si>
    <t>91-80-4155-8888</t>
  </si>
  <si>
    <t>Texas Instruments India,
Bangalore, India.</t>
  </si>
  <si>
    <t xml:space="preserve">innovationchallenge@ti.com </t>
  </si>
  <si>
    <t>The Early Success Merit cum Means Scholarship is designed to support deserving students from economically weaker sections who have shown outstanding academic performance. This scholarship aims to encourage students to pursue their educational goals without financial hindrance. By providing financial assistance, the scholarship promotes equal opportunities for students across various disciplines. The initiative reflects the commitment to fostering talent and supporting the educational aspirations of bright minds from diverse backgrounds.</t>
  </si>
  <si>
    <t>The Early Success Merit cum Means Scholarship offers financial aid to students who excel academically but face economic challenges. This scholarship covers essential educational expenses, including tuition fees, books, and other related costs, ensuring that financial barriers do not impede students’ academic journeys. Eligible candidates are selected based on their academic achievements and financial need, encouraging students to strive for excellence in their studies. The scholarship not only alleviates financial stress but also motivates recipients to maintain high academic standards. By empowering students through education, the Early Success scholarship aims to create a more equitable society where talent can flourish irrespective of economic backgrounds.</t>
  </si>
  <si>
    <t>https://www.myscheme.gov.in/schemes/mcm-min</t>
  </si>
  <si>
    <t>1. Visit the scholarship website.
2. Check the eligibility requirements for the Early Success scholarship.
3. Complete the online application form.
4. Submit supporting documents demonstrating academic merit and financial need.
5. Await notification regarding your application status.</t>
  </si>
  <si>
    <t>1. Academic transcripts.
2. Income certificate.
3. Identity proof (Aadhaar card, etc.).
4. Recommendation letter (if applicable).</t>
  </si>
  <si>
    <t>https://youtu.be/st_AEMVWwAE?si=gebZ9icm-8ufEFv7</t>
  </si>
  <si>
    <t>Early Success Foundation,
Mumbai, India.</t>
  </si>
  <si>
    <t>info@earlysuccess.com</t>
  </si>
  <si>
    <t>The Energy &amp; Mobility for the Future Scholarship is aimed at students pursuing studies in fields related to energy and sustainable mobility. This scholarship encourages young innovators to develop solutions that address current and future energy challenges, promoting sustainability and environmental stewardship. By supporting students with financial assistance, the scholarship aims to foster a new generation of leaders in energy and mobility sectors. The initiative reflects a commitment to advancing research and development in clean energy and efficient transportation systems.</t>
  </si>
  <si>
    <t>The Energy &amp; Mobility for the Future Scholarship provides vital financial support to students dedicated to studying energy and sustainable mobility solutions. This scholarship is designed for individuals who demonstrate academic excellence and a passion for innovative approaches to addressing energy-related issues. Recipients are encouraged to engage in research, projects, and initiatives that contribute to advancements in clean energy technology and sustainable transportation. The scholarship not only alleviates the financial burden of education but also connects students with industry leaders and opportunities for internships and research collaborations. By investing in the education of future leaders, this initiative aims to drive progress in energy efficiency and sustainable mobility.</t>
  </si>
  <si>
    <t>https://scholarshiplearn.com/energy-and-mobility-for-the-future-scholarship/</t>
  </si>
  <si>
    <t>1. Visit the scholarship website.
2. Review the eligibility criteria and scholarship details.
3. Complete the online application form.
4. Submit necessary documents to demonstrate your qualifications and interests.
5. Await communication regarding your scholarship application status.</t>
  </si>
  <si>
    <t>1. Academic transcripts.
2. Research proposal or statement of purpose.
3. Identity proof (Aadhaar card, etc.).</t>
  </si>
  <si>
    <t>91-80-5678-1234</t>
  </si>
  <si>
    <t>Energy &amp; Mobility Foundation,
Delhi, India.</t>
  </si>
  <si>
    <t xml:space="preserve">info@energyandmobility.com </t>
  </si>
  <si>
    <t>The Fedbank Hormis Memorial Foundation Scholarships aim to support deserving students from economically disadvantaged backgrounds, helping them pursue higher education. Established by the Federal Bank, this scholarship reflects the bank's commitment to social responsibility and community development. The program primarily targets students in various fields, including engineering, medicine, and arts, providing them with financial assistance to cover tuition and educational expenses. By investing in education, the foundation seeks to empower individuals to achieve their academic aspirations and contribute positively to society.</t>
  </si>
  <si>
    <t>The Fedbank Hormis Memorial Foundation Scholarships are designed to provide financial support to students facing economic challenges in pursuing higher education. This scholarship program is open to students across various disciplines, including professional courses such as engineering, medicine, and management. The foundation aims to empower talented individuals by alleviating the financial burden associated with education, enabling them to focus on their studies. Recipients are selected based on their academic performance, financial need, and commitment to their chosen field of study. By supporting these students, the Fedbank Hormis Memorial Foundation fosters a culture of excellence and encourages recipients to give back to their communities in the future.</t>
  </si>
  <si>
    <t>https://www.federalbank.co.in/</t>
  </si>
  <si>
    <t>1. Visit the Fedbank Hormis Memorial Foundation scholarship page.
2. Review the eligibility criteria and details of the scholarship.
3. Complete the online application form.
4. Submit required documents, including academic records and financial proofs.
5. Await communication regarding your application status.</t>
  </si>
  <si>
    <t>1. Academic transcripts.
2. Income certificate or proof of financial need.
3. Identity proof (Aadhaar card, etc.).</t>
  </si>
  <si>
    <t>https://youtu.be/bjR3B1lQA9w?si=93OGyNtDw4Qap6Ng</t>
  </si>
  <si>
    <t>91-484-263-2512</t>
  </si>
  <si>
    <t>Fedbank Hormis Memorial Foundation,
Kochi, Kerala, India.</t>
  </si>
  <si>
    <t>info@fhmf.org</t>
  </si>
  <si>
    <t>The FICA Emerging Artist Award is designed to support and recognize emerging artists in India. This award provides financial assistance and mentorship to young talents, fostering their creative development and professional growth. The initiative is organized by the Foundation for Indian Contemporary Art (FICA), which aims to promote contemporary art practices in the country. The award encourages artists to explore innovative ideas and projects, contributing to the vibrant cultural landscape of India. Through this initiative, FICA seeks to nurture the next generation of artists and elevate their voices in the art community.</t>
  </si>
  <si>
    <t>The FICA Emerging Artist Award is a prestigious initiative aimed at identifying and supporting promising young artists in India. This award is open to artists under the age of 35 who are working in various mediums, including painting, sculpture, installation, and new media. Recipients of the award receive financial grants to support their artistic projects, as well as opportunities for mentorship and exposure through exhibitions and workshops. The program not only assists artists in developing their practice but also aims to enhance public engagement with contemporary art. By recognizing and promoting emerging talent, the FICA Emerging Artist Award contributes to the growth of India's contemporary art scene.</t>
  </si>
  <si>
    <t>https://ficart.org/emerging-artist-award-1</t>
  </si>
  <si>
    <t>1. Visit the FICA website and navigate to the Emerging Artist Award section.
2. Review the eligibility criteria and guidelines for application.
3. Complete the online application form and submit a portfolio of work.
4. Include a project proposal outlining your intended artistic endeavor.
5. Await notification regarding the selection process.</t>
  </si>
  <si>
    <t>1. Artist portfolio.
2. Project proposal.
3. CV or resume.
4. Identity proof (Aadhaar card, etc.).</t>
  </si>
  <si>
    <t>https://youtu.be/O7BPevYWu9w?si=8ktPNt4qrtWsuUpY</t>
  </si>
  <si>
    <t>91-11-2644-3402</t>
  </si>
  <si>
    <t>Foundation for Indian Contemporary Art,
New Delhi, India.</t>
  </si>
  <si>
    <t>info@fica.in</t>
  </si>
  <si>
    <t>The Financial Assistance for Education of the Wards of Beedi/Cine/IOMC/LSDM Workers scheme provides financial support to students who are children of workers in the beedi, cinema, and related industries. This initiative is designed to promote education among the wards of these laborers, ensuring they have access to quality education and opportunities for advancement. By alleviating the financial burden associated with education, the scheme aims to improve the educational outcomes of these children, empowering them to pursue their dreams and contribute positively to society.</t>
  </si>
  <si>
    <t>The Financial Assistance for Education of the Wards of Beedi/Cine/IOMC/LSDM Workers program aims to support the educational pursuits of children from economically disadvantaged backgrounds, particularly those whose parents work in the beedi, cinema, and other labor-intensive industries. This assistance covers various educational expenses, including tuition fees, books, and other necessary supplies, enabling these children to focus on their studies. The scheme is an important step towards ensuring that financial constraints do not hinder the educational opportunities available to these students. By investing in their education, the initiative seeks to break the cycle of poverty and promote a brighter future for the next generation.</t>
  </si>
  <si>
    <t>https://www.india.gov.in/</t>
  </si>
  <si>
    <t>1. Visit the official government website for the financial assistance scheme.
2. Review the eligibility criteria and application guidelines.
3. Complete the online application form.
4. Submit required documents, including proof of parental occupation and financial status.
5. Await communication regarding your application status.</t>
  </si>
  <si>
    <t>1. Proof of parental occupation (e.g., employment certificate).
2. Income certificate.
3. Academic records of the student.</t>
  </si>
  <si>
    <t>https://youtu.be/VzVOXkTyfZw?si=mpfgTpBjV9BKaGDz</t>
  </si>
  <si>
    <t>91-1800-11-1555</t>
  </si>
  <si>
    <t>Government of India,
New Delhi, India.</t>
  </si>
  <si>
    <t>info@india.gov.in</t>
  </si>
  <si>
    <t>The Foundation for Excellence Scholarship provides financial assistance to deserving students pursuing higher education in engineering, medicine, and other professional courses. The foundation aims to support economically disadvantaged students who demonstrate academic excellence and a commitment to their studies. By alleviating financial burdens, the scholarship allows recipients to focus on their education and achieve their career aspirations. The initiative reflects a commitment to fostering talent and providing opportunities for those who may otherwise be unable to pursue their dreams due to financial constraints.</t>
  </si>
  <si>
    <t>The Foundation for Excellence Scholarship is dedicated to empowering talented students from low-income families by providing them with financial support for their higher education. The scholarship covers tuition fees, academic materials, and other necessary expenses, enabling students to pursue degrees in fields such as engineering, medicine, and management without the worry of financial stress. Candidates are selected based on their academic performance, financial need, and personal commitment to their educational goals. In addition to financial assistance, the foundation often provides mentorship and career guidance, helping recipients navigate their educational journeys and prepare for successful futures. By investing in education, the Foundation for Excellence aims to create a pool of skilled professionals who can contribute to society and their communities.</t>
  </si>
  <si>
    <t>https://www.foundationforexcellence.org/</t>
  </si>
  <si>
    <t>1. Visit the Foundation for Excellence website.
2. Review eligibility criteria and scholarship details.
3. Complete the online application form.
4. Submit necessary documents, including academic records and financial proofs.
5. Await communication regarding your application status.</t>
  </si>
  <si>
    <t>1. Academic transcripts.
2. Income certificate.
3. Identity proof (Aadhaar card, etc.).</t>
  </si>
  <si>
    <t>https://youtu.be/TwXk-jjNdxI?si=WeUDrBxLUPtGzP__</t>
  </si>
  <si>
    <t>91-80-4123-5678</t>
  </si>
  <si>
    <t>Foundation for Excellence,
Bangalore, India.</t>
  </si>
  <si>
    <t>info@foundationforexcellence.org</t>
  </si>
  <si>
    <t>The Foyle Young Poets of the Year Award is a prestigious annual competition that celebrates the creativity and talent of young poets aged 11 to 17. Launched by the Poetry Society in the UK, the award encourages young writers to explore their voice and express their thoughts through poetry. Winners receive recognition, publication, and mentorship opportunities, fostering their growth as poets. The award not only highlights emerging talent but also aims to promote the art of poetry in schools and communities, inspiring a new generation of poets to engage with language and expression.</t>
  </si>
  <si>
    <t>The Foyle Young Poets of the Year Award is an esteemed initiative that aims to discover and nurture young poetic talent. Open to poets aged 11 to 17 from around the world, this competition invites submissions of original poetry across various themes and styles. Selected winners receive prestigious awards, including publication in an anthology, invitations to workshops and events, and the opportunity for mentorship from established poets. The award promotes creativity and self-expression among young people, helping to develop their literary skills and confidence. Through this initiative, the Poetry Society encourages participants to explore the transformative power of poetry and to share their voices with a wider audience.</t>
  </si>
  <si>
    <t>https://foyleyoungpoets.org/</t>
  </si>
  <si>
    <t>1. Visit the Foyle Young Poets website.
2. Review eligibility criteria and submission guidelines.
3. Submit your poetry through the online application form before the deadline.
4. Await communication regarding the results and potential awards.</t>
  </si>
  <si>
    <t>1. Original poetry submissions (specific number of poems as per guidelines).
2. Parental consent form (if under 16).</t>
  </si>
  <si>
    <t>https://youtu.be/WCk9O8SVSCI?si=mZu5BooNve3ChwJH</t>
  </si>
  <si>
    <t>44-20-7420-9898</t>
  </si>
  <si>
    <t>The Poetry Society,
London, UK.</t>
  </si>
  <si>
    <t>info@poetrysociety.org.uk</t>
  </si>
  <si>
    <t>The G.P. Birla Education Foundation Scholarship is a distinguished scholarship program aimed at promoting quality education among meritorious students in India. Established by the G.P. Birla Educational Trust, this scholarship is designed to support students pursuing higher education in various fields, including science, technology, and management. The initiative reflects a commitment to enhancing educational opportunities for deserving candidates, enabling them to achieve their academic and professional goals. By providing financial assistance, the foundation seeks to empower young minds to contribute positively to society and the economy.</t>
  </si>
  <si>
    <t>The G.P. Birla Education Foundation Scholarship offers financial assistance to talented students from economically disadvantaged backgrounds, helping them pursue higher education in various disciplines. The scholarship aims to recognize and reward academic excellence, providing funds for tuition fees, books, and other educational expenses. Candidates are selected based on their academic performance, financial need, and potential for future success. The foundation not only supports individual students but also contributes to the overall development of the education sector in India by promoting access to quality education. By investing in the youth of today, the G.P. Birla Education Foundation strives to create a brighter future for society as a whole.</t>
  </si>
  <si>
    <t>https://www.gpbirlaedufoundation.com/</t>
  </si>
  <si>
    <t>1. Visit the G.P. Birla Education Foundation website.
2. Review eligibility criteria and scholarship details.
3. Complete the online application form and submit required documents.
4. Await communication regarding the selection process.</t>
  </si>
  <si>
    <t>https://youtu.be/gYeWSt0fLCM?si=URWbh0gYa2BsTpM_</t>
  </si>
  <si>
    <t>91 8479915170 (Monday to Friday 11 AM to 5 PM)</t>
  </si>
  <si>
    <t>Attn: Chetan Agarwal
78, Syed Amir Ali Avenue,
Kolkata-700019</t>
  </si>
  <si>
    <t>office@gpbirlaedufoundation.com</t>
  </si>
  <si>
    <t>The Gaurav Foundation Scholarship is dedicated to supporting deserving students in India by providing financial assistance for higher education. Established by the Gaurav Foundation, the scholarship aims to empower young individuals from underprivileged backgrounds, enabling them to pursue their academic aspirations without the burden of financial constraints. The initiative reflects a commitment to social responsibility and education as a means to uplift communities and foster talent. By investing in the education of promising students, the foundation seeks to contribute to the overall development and progress of society.</t>
  </si>
  <si>
    <t>The Gaurav Foundation Scholarship is an initiative focused on providing financial support to students who demonstrate both academic potential and financial need. This scholarship is available to students pursuing various professional courses in fields such as engineering, medicine, and management. Recipients of the scholarship benefit from financial assistance that covers tuition fees, books, and other essential educational expenses. The selection process is based on academic merit, financial background, and commitment to education. Through this scholarship, the Gaurav Foundation aims to remove barriers to higher education, enabling talented individuals to realize their dreams and contribute positively to society.</t>
  </si>
  <si>
    <t>https://forstu.co/sdetails/172</t>
  </si>
  <si>
    <t>1. Visit the Gaurav Foundation website.
2. Review eligibility criteria and scholarship details.
3. Complete the online application form and upload required documents.
4. Await notification regarding your application status.</t>
  </si>
  <si>
    <t>1. Academic records.
2. Income certificate.
3. Identity proof (Aadhaar card, etc.).</t>
  </si>
  <si>
    <t>https://youtu.be/-udoUnXXh3w?si=PbVobLXMepft158B</t>
  </si>
  <si>
    <t>Gaurav Foundation,
Mumbai, India.</t>
  </si>
  <si>
    <t>info@gauravfoundation.org</t>
  </si>
  <si>
    <t>The GEMS Genius Scholarship is designed to support talented and high-achieving students seeking to pursue their education in GEMS Education schools worldwide. This scholarship aims to identify and nurture students who demonstrate exceptional academic performance, creativity, and leadership potential. By providing financial assistance, the GEMS Genius Scholarship helps alleviate the cost of education, allowing students to focus on their studies and personal development. The initiative reflects GEMS Education's commitment to fostering talent and innovation in young minds, encouraging them to achieve their highest potential.</t>
  </si>
  <si>
    <t>The GEMS Genius Scholarship offers a unique opportunity for exceptional students to receive financial support for their education at GEMS schools. Open to students demonstrating outstanding academic achievements, artistic talents, or leadership skills, the scholarship seeks to promote a diverse and enriching educational environment. Applicants are required to showcase their talents through essays, portfolios, or interviews, depending on the specific scholarship category. The scholarship covers a percentage of tuition fees, providing significant financial relief to families. By investing in gifted students, GEMS Education aims to cultivate a new generation of leaders, innovators, and change-makers who can contribute positively to society.</t>
  </si>
  <si>
    <t>https://www.gemseducation.com/en/</t>
  </si>
  <si>
    <t>1. Visit the GEMS Education website.
2. Review the scholarship details and eligibility criteria.
3. Complete the online application form and submit required documentation.
4. Prepare for interviews or assessments, if applicable.</t>
  </si>
  <si>
    <t>1. Academic transcripts.
2. Personal statement or essay.
3. Letters of recommendation.</t>
  </si>
  <si>
    <t>https://youtu.be/7YYeW37pvPE?si=IjqmKMm_de8QFT68</t>
  </si>
  <si>
    <t>971-4-347-0077</t>
  </si>
  <si>
    <t>GEMS Education,
Dubai, UAE.</t>
  </si>
  <si>
    <t>info@gemseducation.com</t>
  </si>
  <si>
    <t>The German Chancellor Fellowships for Prospective Leaders is an esteemed international fellowship program designed for young professionals from various fields, including politics, economics, and science. Offered by the Alexander von Humboldt Foundation, this program aims to foster international collaboration and cultural exchange. Fellows are provided the opportunity to develop their leadership skills in Germany, engaging with key institutions and professionals. The fellowship emphasizes the importance of networking, innovative thinking, and cross-cultural understanding, contributing to the personal and professional development of emerging leaders.</t>
  </si>
  <si>
    <t>The German Chancellor Fellowships for Prospective Leaders is a prestigious program that invites young leaders from around the world to Germany for a year-long fellowship. It targets individuals who have the potential to shape their societies and make a significant impact in their respective fields. During the fellowship, participants have the opportunity to undertake projects in cooperation with German institutions and mentors, focusing on social, political, or economic issues. The program includes various activities, such as seminars, workshops, and networking events, facilitating meaningful interactions with German leaders and organizations. This experience not only enhances the fellows' professional skills but also promotes mutual understanding between Germany and the fellows' home countries, fostering future collaboration.</t>
  </si>
  <si>
    <t>https://www.humboldt-foundation.de/en/apply/sponsorship-programmes/german-chancellor-fellowship</t>
  </si>
  <si>
    <t>1. Visit the Humboldt Foundation website.
2. Review the fellowship guidelines and eligibility requirements.
3. Complete the online application form and submit necessary documents.
4. Participate in interviews or selection processes as required.</t>
  </si>
  <si>
    <t>1. Curriculum vitae (CV).
2. Project proposal.
3. Letters of recommendation.</t>
  </si>
  <si>
    <t>https://youtu.be/-2kK7oJipAw?si=VA-v7AyW9RxKxExQ</t>
  </si>
  <si>
    <t>49-30-204-57-0</t>
  </si>
  <si>
    <t>Alexander von Humboldt Foundation,
Berlin, Germany.</t>
  </si>
  <si>
    <t>info@humboldt-foundation.de</t>
  </si>
  <si>
    <t>The GITAM Admission Test (GAT) is a competitive entrance examination conducted by GITAM (Gandhi Institute of Technology and Management) for admission into its various undergraduate and postgraduate programs. This exam is designed to assess the academic capabilities of aspiring students in areas such as mathematics, physics, chemistry, and general knowledge. GAT serves as a crucial step in the admission process, allowing GITAM to select the most deserving candidates based on merit. The examination aims to provide equal opportunities to all students, ensuring that the best talent is admitted into the institution.</t>
  </si>
  <si>
    <t>The GITAM Admission Test (GAT) is an integral part of the admission process for GITAM University, encompassing a wide range of disciplines, including engineering, management, and sciences. Conducted annually, GAT evaluates candidates through a series of multiple-choice questions that test their knowledge and analytical skills in subjects relevant to their chosen fields. The examination typically covers topics such as mathematics, physics, chemistry, and English, and is designed to measure the candidates' readiness for the rigorous academic environment at GITAM. The results of GAT play a vital role in determining admission offers, with high-performing candidates gaining access to various undergraduate and postgraduate programs. Furthermore, GITAM provides ample resources and support for students preparing for the test, ensuring they have the tools needed to succeed.</t>
  </si>
  <si>
    <t>https://gat.gitam.edu/</t>
  </si>
  <si>
    <t>1. Visit the GITAM University website.
2. Navigate to the GAT admission section.
3. Complete the online application form and pay the application fee.
4. Prepare for and take the GAT examination on the scheduled date.</t>
  </si>
  <si>
    <t>1. Academic certificates.
2. Identity proof.
3. Passport-sized photographs.</t>
  </si>
  <si>
    <t>https://youtu.be/PtOsmq2uIVk?si=24bhJ6B7C2of2yna</t>
  </si>
  <si>
    <t>91-891-284-0400</t>
  </si>
  <si>
    <t>GITAM University,
Visakhapatnam, India.</t>
  </si>
  <si>
    <t xml:space="preserve">info@gitam.edu </t>
  </si>
  <si>
    <t>The Global Youth Video Competition is an international contest that encourages young individuals to express their views and creativity through video storytelling. Organized by various organizations, this competition invites youth to address global issues that affect their communities and the world. Participants are tasked with creating short videos that showcase their perspectives on topics such as climate change, education, and social justice. The initiative aims to empower young voices and inspire action, providing a platform for the next generation of leaders to share their insights and solutions through the powerful medium of video.</t>
  </si>
  <si>
    <t>The Global Youth Video Competition serves as a unique platform for young filmmakers and storytellers to present their ideas on pressing global challenges. Participants, typically aged 14 to 30, are invited to create engaging videos that articulate their vision for a better future and promote awareness about important social, environmental, and economic issues. The competition often includes themes related to sustainability, equality, and innovation, encouraging participants to think critically and creatively. Winning entries receive recognition, mentorship opportunities, and potential funding to further develop their projects. Through this initiative, young creators can influence public discourse, engage with peers, and connect with organizations dedicated to driving change, thereby fostering a collaborative effort towards a more sustainable world.</t>
  </si>
  <si>
    <t>https://unfccc.int/topics/education-and-outreach/events--meetings/global-youth-video-competition</t>
  </si>
  <si>
    <t>1. Visit the official competition website.
2. Review the competition guidelines and themes.
3. Create and submit your video according to the specified requirements.
4. Await results and notifications regarding potential awards.</t>
  </si>
  <si>
    <t>1. Video submission (following the competition guidelines).
2. Entry form with participant details.</t>
  </si>
  <si>
    <t>https://youtu.be/3qKRfE1VleA?si=A7kI6zAXzNqWLCtj</t>
  </si>
  <si>
    <t>1-202-555-0199</t>
  </si>
  <si>
    <t>Global Youth Video Competition Team,
International Organization, Location.</t>
  </si>
  <si>
    <t>info@globalyouthvideocompetition.org</t>
  </si>
  <si>
    <t>Google Science Fair</t>
  </si>
  <si>
    <t>The Google Science Fair is a prestigious global competition that encourages students aged 13 to 18 to explore their scientific interests and develop innovative projects. Launched by Google, this annual event seeks to inspire young minds to engage with science, technology, engineering, and mathematics (STEM). Participants are tasked with formulating a research question, conducting experiments, and presenting their findings through a comprehensive online submission. The competition not only provides recognition for outstanding scientific achievement but also offers mentorship, scholarships, and opportunities to connect with industry experts.</t>
  </si>
  <si>
    <t>The Google Science Fair is an esteemed competition that invites students from around the world to showcase their scientific research and innovative ideas. Participants develop projects that address real-world problems and present their findings through detailed reports and engaging videos. The competition is designed to foster creativity and critical thinking in young scientists while providing a platform for their work to gain international visibility. Winners receive scholarships, mentorship from leading experts, and opportunities to participate in exclusive events. The Google Science Fair emphasizes the importance of STEM education and aims to empower the next generation of innovators, encouraging them to push the boundaries of knowledge and creativity in various fields.</t>
  </si>
  <si>
    <t>https://www.competitionsciences.org/competitions/google-science-fair/</t>
  </si>
  <si>
    <t>1. Visit the Google Science Fair website.
2. Review the competition guidelines and eligibility criteria.
3. Develop and document your scientific project.
4. Submit your project online by the deadline.</t>
  </si>
  <si>
    <t>1. Research project report.
2. Presentation video (if applicable).
3. Consent forms from parents/guardians (if required).</t>
  </si>
  <si>
    <t>https://youtu.be/Z5ue-WByWOY?si=EBIlZAHI7lDShYZE</t>
  </si>
  <si>
    <t>1-650-253-0000</t>
  </si>
  <si>
    <t>Google Science Fair Team,
Mountain View, CA, USA.</t>
  </si>
  <si>
    <t>info@googlesciencefair.com</t>
  </si>
  <si>
    <t>The Government of India Post-Matric Scholarship for Scheduled Tribes (ST) in Maharashtra aims to provide financial assistance to students from ST communities who are pursuing education beyond the matriculation level. This scholarship supports students in various fields, encouraging them to complete their higher education without financial burden. By facilitating access to quality education, the program seeks to empower ST students and promote their socio-economic development. The initiative underscores the government's commitment to educational equity and inclusivity.</t>
  </si>
  <si>
    <t>The Post-Matric Scholarship for Scheduled Tribes (ST) in Maharashtra is a crucial initiative under the Government of India, designed to support ST students in their pursuit of higher education. This scholarship targets students who have completed their matriculation and are enrolled in post-matric courses, including undergraduate, postgraduate, diploma, and vocational programs. The scholarship provides financial assistance for tuition fees, examination fees, and other educational expenses, thus alleviating the financial burdens that often hinder academic pursuits. To qualify, students must meet specific eligibility criteria, including family income limits and enrollment in recognized institutions. The scholarship aims to enhance educational opportunities, improve retention rates among ST students, and foster a skilled workforce that can contribute to the nation’s development. Additionally, it promotes awareness about the importance of education within tribal communities, encouraging more students to seek higher education. The application process is streamlined to ensure that deserving candidates can easily access these benefits. Ultimately, this initiative is part of a broader strategy to uplift marginalized communities, providing them with the necessary resources to thrive academically and professionally.</t>
  </si>
  <si>
    <t>Government of Maharashtra Scholarship Portal</t>
  </si>
  <si>
    <t>1.Visit the Official Portal: Go to the Maharashtra Scholarship Portal.
2.Register: Create an account by providing the required details.
3.Fill the Application Form: Complete the online application form with accurate information.
4.Upload Documents: Attach necessary documents as specified.
5.Submit the Application: Review your application and submit it before the deadline.
6.Track Application Status: Use your login credentials to monitor the status of your application.</t>
  </si>
  <si>
    <t>1.Caste certificate
2.Income certificate
3.Educational certificates (previous academic records)
4.Admission proof (for current course)
5.Bank account details
6.Passport-sized photographs</t>
  </si>
  <si>
    <t>https://youtu.be/Z31B7Q-q2GM?si=4Ga4unraploPE0Iw</t>
  </si>
  <si>
    <t>Department of Social Justice and Special Assistance, Maharashtra, India</t>
  </si>
  <si>
    <t>scholarships@gov.in</t>
  </si>
  <si>
    <t>The GV School Development Programme (GVSDP) at VIT aims to enhance the educational experience and development of students through various scholarships. This initiative supports meritorious students from diverse backgrounds, offering financial assistance to promote access to quality education. The GVSDP not only rewards academic excellence but also encourages holistic development through extracurricular activities. By providing these scholarships, VIT aims to nurture future leaders and innovators in various fields.</t>
  </si>
  <si>
    <t>The GV School Development Programme (GVSDP) at VIT is a comprehensive scholarship initiative designed to support talented students in their academic journeys. This program specifically targets those from economically weaker sections and encourages them to pursue higher education without the burden of financial constraints. The scholarships are awarded based on academic performance, entrance exam scores, and overall potential. In addition to financial aid, the GVSDP provides mentorship, workshops, and skill development programs, ensuring students not only excel in their studies but also develop essential life skills. The objective of the GVSDP is to create an inclusive educational environment that recognizes and nurtures diverse talents, paving the way for personal and professional growth. The program emphasizes the importance of extracurricular activities, encouraging students to engage in sports, arts, and community service, thereby fostering well-rounded individuals. This initiative aligns with VIT's commitment to creating a socially responsible and forward-thinking academic community. By investing in students' futures, the GVSDP aims to contribute to the overall development of society by empowering youth to become change-makers in their respective fields.</t>
  </si>
  <si>
    <t>https://www.vit.ac.in/</t>
  </si>
  <si>
    <t>1.Visit the Official Website: Navigate to the VIT scholarship section.
2.Check Eligibility: Review the eligibility criteria for the GVSDP.
3.Register: Create an account or log in if you already have one.
4.Fill the Application Form: Complete the online application with accurate details.
5.Upload Documents: Attach the required documents as specified.
6.Submit the Application: Ensure all information is correct and submit the application.
7.Track Status: Use your login credentials to check the application status periodically.</t>
  </si>
  <si>
    <t>1.Academic certificates (previous and current)
2.Income certificate
3.Aadhar card or identity proof
4.Entrance exam scorecard (if applicable)
5.Passport-sized photographs
6.Recommendation letters (if required)</t>
  </si>
  <si>
    <t>https://youtu.be/qriW9iAm7V4?si=JzkpYCeusEVDsENM</t>
  </si>
  <si>
    <t>VIT University, Vellore, Tamil Nadu, India</t>
  </si>
  <si>
    <t>hello@collegedekho.com</t>
  </si>
  <si>
    <t>The Harish-Chandra Research Institute (HRI) offers the Visiting Students Program in Physics to encourage undergraduate and postgraduate students to engage in research. This initiative aims to provide students with hands-on experience in various areas of physics under the guidance of esteemed faculty. The program enhances students' understanding of theoretical and experimental physics while fostering collaboration and innovation in research. By participating in this program, students can expand their academic horizons and gain valuable insights into cutting-edge scientific work.</t>
  </si>
  <si>
    <t>The Visiting Students Program in Physics at the Harish-Chandra Research Institute (HRI) is an exceptional opportunity for students to immerse themselves in a rigorous research environment. Designed for undergraduate and postgraduate students, the program allows participants to work closely with leading physicists on ongoing research projects. Students have the chance to explore diverse fields, such as theoretical physics, condensed matter physics, astrophysics, and more. This program not only provides students with practical research experience but also enriches their academic knowledge through lectures, seminars, and discussions with faculty members. Participants can engage in hands-on experiments, computational work, and theoretical modeling, enhancing their skill set for future academic pursuits. The HRI emphasizes a collaborative atmosphere, encouraging students to share ideas and engage in intellectual discourse with peers and mentors. The program also aims to foster a sense of scientific inquiry and innovation, preparing students for advanced studies and careers in physics. Additionally, students receive guidance on project formulation, research methodology, and presentation skills, equipping them with essential tools for their future endeavors. Ultimately, the Visiting Students Program at HRI serves as a stepping stone for aspiring physicists, helping them cultivate a passion for research and discovery.</t>
  </si>
  <si>
    <t>Harish-Chandra Research Institute Official Website</t>
  </si>
  <si>
    <t>1.Visit the HRI Website: Go to the official HRI website.
2.Check Eligibility: Review the eligibility criteria for the Visiting Students Program.
3.Prepare Application Materials: Gather required documents, including CV and statement of purpose.
4.Fill the Application Form: Complete the online application form with accurate details.
5.Submit Documents: Upload the necessary documents as specified.
6.Submit the Application: Ensure all information is correct and submit your application.
7.Wait for Communication: Check your email for updates regarding your application status.</t>
  </si>
  <si>
    <t>1.Curriculum Vitae (CV)
2.Statement of purpose
3.Academic transcripts
4.Recommendation letters (if required)
5.Any relevant research experience documents</t>
  </si>
  <si>
    <t>https://www.youtube.com/channel/UCbL5k4FnxnUTWg8amIl3cAw/playlists</t>
  </si>
  <si>
    <t>91-532-2569509</t>
  </si>
  <si>
    <t>Harish-Chandra Research Institute, Jhunsi, Allahabad, Uttar Pradesh, India</t>
  </si>
  <si>
    <t>info@hri.res.in</t>
  </si>
  <si>
    <t>The Haryana State Merit Scholarship is designed to support meritorious students in Haryana who demonstrate academic excellence. Aimed at students pursuing higher education, this scholarship provides financial assistance to help cover tuition fees and other educational expenses. The initiative seeks to encourage students to continue their studies and achieve their academic goals, thereby contributing to the overall development of the state. By offering this scholarship, the Haryana government aims to promote educational equity and empower deserving students.</t>
  </si>
  <si>
    <t>The Haryana State Merit Scholarship is a vital initiative aimed at supporting academically talented students who face financial constraints in pursuing higher education. This scholarship program is primarily intended for students who have achieved outstanding academic results in their previous examinations and are enrolled in recognized institutions for undergraduate and postgraduate studies. The scholarship not only provides financial assistance for tuition fees but also helps cover additional costs such as books, materials, and examination fees. To qualify, students must meet specific eligibility criteria, including academic performance and family income limits. The application process is designed to be straightforward, allowing students to submit their applications online through the official portal. The scholarship encourages students to excel in their studies by rewarding hard work and dedication, ultimately aiming to foster a culture of academic achievement within the state. Furthermore, it plays a crucial role in reducing dropout rates among meritorious students, thereby contributing to a more educated and skilled workforce. The Haryana State Merit Scholarship is a significant step towards creating opportunities for deserving students, ensuring that financial barriers do not hinder their academic aspirations. This program reflects the government's commitment to enhancing educational access and promoting socio-economic development in the region.</t>
  </si>
  <si>
    <t>https://haryanascholarship.gov.in/</t>
  </si>
  <si>
    <t>1.Visit the Official Website: Go to the Haryana State Scholarship portal.
2.Check Eligibility: Review the eligibility criteria for the merit scholarship.
3.Register: Create an account on the scholarship portal.
4.Fill the Application Form: Complete the online application form with required details.
5.Upload Documents: Attach necessary documents as specified.
6.Submit the Application: Review your application and submit it by the deadline.
7.Track Application Status: Log in to check the status of your application</t>
  </si>
  <si>
    <t>1.Academic certificates (previous and current)
2.Income certificate
3.Aadhar card or identity proof
4.Admission proof (for current course)
5.Bank account details
6.Passport-sized photographs</t>
  </si>
  <si>
    <t>https://youtu.be/kCg-bdGXnts?si=g6EjQucBadqp1KGd</t>
  </si>
  <si>
    <t>91 0172-2565530</t>
  </si>
  <si>
    <t>Department of Higher Education, Haryana, India</t>
  </si>
  <si>
    <t>helpdeskscholarshiphry[at]gmail[dot]com</t>
  </si>
  <si>
    <t>The HDFC Educational Crisis Scholarship is designed to support students facing financial difficulties due to unforeseen circumstances, such as the loss of a parent or guardian. This scholarship aims to ensure that students can continue their education despite financial hardships. It is open to students from various backgrounds, helping them access educational opportunities that might otherwise be out of reach. By offering this financial assistance, HDFC Bank demonstrates its commitment to supporting education and empowering the next generation.</t>
  </si>
  <si>
    <t>The HDFC Educational Crisis Scholarship provides vital financial assistance to students who encounter unexpected educational challenges, particularly those stemming from the death or critical illness of a parent or guardian. This scholarship aims to alleviate the burden of educational expenses during such crises, allowing students to focus on their studies without the added stress of financial instability. Eligible applicants include students enrolled in schools, colleges, or vocational institutions across India, and the scholarship covers various educational costs, including tuition fees, examination fees, and other necessary expenses. The application process is designed to be accessible, requiring students to provide relevant documentation that substantiates their circumstances. Selection is based on a thorough review of applications, ensuring that assistance is directed to those who need it most. HDFC Bank not only offers financial support but also encourages students to remain committed to their educational goals during challenging times. The program reflects HDFC’s broader commitment to social responsibility, promoting educational access and empowerment for deserving students. By supporting these students, the scholarship aims to foster resilience and enable them to pursue their academic ambitions, ultimately contributing to their long-term success.</t>
  </si>
  <si>
    <t>https://www.hdfcbank.com/</t>
  </si>
  <si>
    <t>1.Visit the HDFC Bank Scholarship Page: Go to the official HDFC Bank website.
2.Check Eligibility: Review the eligibility criteria for the Educational Crisis Scholarship.
3.Register: Create an account or log in if you already have one.
4.Fill the Application Form: Complete the online application form with required details.
5.Upload Documents: Attach necessary documents as specified.
5.Submit the Application: Ensure all information is correct and submit your application.
6.Track Application Status: Use your login credentials to check the status of your application.</t>
  </si>
  <si>
    <t>1.Identity proof (Aadhar card or similar)
2.Death certificate or medical records (if applicable)
3.Academic transcripts
4.Admission proof from the institution
5.Income certificate (if needed)
6.Bank account details</t>
  </si>
  <si>
    <t>https://youtu.be/MMGy0NzPf20?si=YYBut-zfbyl7b7Bs</t>
  </si>
  <si>
    <t>011-430-92248</t>
  </si>
  <si>
    <t>HDFC Bank Limited, Mumbai, Maharashtra, India</t>
  </si>
  <si>
    <t>hdfcbankecss@buddy4study.com</t>
  </si>
  <si>
    <t>High Risk High Reward (Science and Engineering Research Board)</t>
  </si>
  <si>
    <t>The High Risk High Reward (HRHR) initiative by the Science and Engineering Research Board (SERB) aims to support innovative and transformative research projects in India. This program is designed for researchers who are willing to tackle high-risk problems that have the potential for significant scientific and societal impact. By funding unconventional ideas, HRHR encourages creativity and exploration in various fields of science and engineering. The initiative seeks to foster a research environment that prioritizes originality and high impact, ultimately contributing to the advancement of knowledge and technology.</t>
  </si>
  <si>
    <t>The High Risk High Reward (HRHR) program, launched by the Science and Engineering Research Board (SERB), is a pioneering initiative focused on supporting high-impact research that pushes the boundaries of conventional science and engineering. Aimed at researchers in various disciplines, this program specifically targets innovative projects that may be considered too risky for traditional funding mechanisms. Applicants are encouraged to propose groundbreaking ideas that address complex challenges or explore uncharted territories in their fields. The HRHR initiative not only provides financial support but also emphasizes the importance of interdisciplinary collaboration, allowing researchers to combine expertise from different domains to enhance the potential of their projects. Each selected project is expected to demonstrate significant societal relevance, with the possibility of transformative outcomes that could lead to technological advancements or solve pressing global issues. The funding provided through the HRHR program is intended to cover various research-related expenses, including personnel costs, equipment, and travel for fieldwork or collaboration. The application process is designed to identify visionary proposals that reflect originality and feasibility, ensuring that the most promising projects receive the necessary resources to thrive. Ultimately, the HRHR initiative aims to cultivate a vibrant research culture in India, promoting innovation and excellence in science and engineering.</t>
  </si>
  <si>
    <t>https://serb.gov.in/</t>
  </si>
  <si>
    <t>1.Visit the SERB Website: Navigate to the official SERB website.
2.Check Eligibility: Review the eligibility criteria for the HRHR program.
3.Prepare Proposal: Draft your research proposal, ensuring it aligns with HRHR goals.
4.Fill the Application Form: Complete the online application form with accurate details.
5.Upload Required Documents: Attach the necessary documents as specified.
6.Submit the Application: Ensure all information is correct and submit your application before the deadline.
7.Monitor Status: Check back on the website for updates regarding your application status.</t>
  </si>
  <si>
    <t>1.Detailed research proposal
2.Curriculum Vitae (CV) of the principal investigator
3.Letters of support or collaboration (if applicable)
4.Previous research work or publications
5.Budget estimates and justification
6.Institutional approval (if required)</t>
  </si>
  <si>
    <t>https://youtu.be/sLZd7mTtjBY?si=Rn9wqtvakh9P2cjH</t>
  </si>
  <si>
    <t>(011) 24303714</t>
  </si>
  <si>
    <t>SERB, Department of Science and Technology, New Delhi, India</t>
  </si>
  <si>
    <t>https://www.myscheme.gov.in/schemes/hr-hrr</t>
  </si>
  <si>
    <t>The Hindi Scholarship (HS) in Kerala is a financial aid program aimed at encouraging students to pursue higher education in Hindi. It primarily targets those who have completed their education in Hindi medium and are pursuing undergraduate or postgraduate courses. This scholarship serves to promote the language and culture of Hindi among the youth in Kerala, fostering linguistic diversity and educational accessibility. By providing financial assistance, the initiative seeks to alleviate the economic burden on students and their families, enabling more individuals to achieve their academic goals.</t>
  </si>
  <si>
    <t>The Hindi Scholarship (HS) offered in Kerala is an initiative designed to support students who wish to further their education in Hindi. This scholarship caters specifically to students who have completed their schooling in Hindi medium and are now enrolled in undergraduate or postgraduate courses. By offering financial assistance, the program aims to alleviate the financial constraints that often hinder students from pursuing higher education. The scholarship not only encourages academic excellence but also promotes the appreciation and understanding of Hindi language and culture. Students from economically weaker sections of society are given priority, ensuring that education remains accessible to all. The application process is streamlined, allowing students to easily submit their applications online along with the necessary documents. This initiative is part of a broader effort by the Government of Kerala to support linguistic diversity and foster educational opportunities for all. By investing in the education of Hindi-speaking students, the program aims to contribute to a more inclusive and culturally rich society. Overall, the Hindi Scholarship serves as a vital resource for aspiring scholars, helping them achieve their dreams and make significant contributions to their communities.</t>
  </si>
  <si>
    <t>https://www.hindischolarshipkerala.com/</t>
  </si>
  <si>
    <t>1.Visit the official scholarship website.
2.Register for an account by providing the necessary details.
3.Log in to your account and fill out the scholarship application form.
4.Upload the required documents as specified.
5.Review your application for accuracy.
6.Submit the application before the deadline.
7.Keep track of your application status through the portal.</t>
  </si>
  <si>
    <t>1.Proof of admission in a recognized institution
2.Mark sheets of previous examinations
3.Income certificate of the family
4.Caste certificate (if applicable)
5.Aadhar card or equivalent identification proof
6.Recent passport-sized photographs</t>
  </si>
  <si>
    <t>https://youtu.be/DEEqtLeM8aM?si=U7HnbYyG8RfN39ck</t>
  </si>
  <si>
    <t>Hindi Scholarship (HS) – Career Pathways</t>
  </si>
  <si>
    <t>Department of Collegiate Education, Kerala, India</t>
  </si>
  <si>
    <t>https://careerguidance.unilearn.org.in/scholarship/hindi-scholarship-hs/</t>
  </si>
  <si>
    <t>The IDB Undergraduate Scholarship Programme is an initiative by the Islamic Development Bank (IDB) aimed at providing financial assistance to students from member countries pursuing undergraduate studies in various fields. This scholarship is designed to support talented individuals who demonstrate academic excellence but lack the financial means to pursue their education. By investing in education, the IDB aims to foster human capital development and contribute to the socio-economic progress of member countries. The programme encompasses various disciplines, promoting diversity and empowering future leaders to make a positive impact in their communities.</t>
  </si>
  <si>
    <t>The IDB Undergraduate Scholarship Programme is a prestigious initiative aimed at supporting students from IDB member countries who aspire to pursue higher education in diverse fields. The program provides financial assistance covering tuition fees, living expenses, and other educational costs, ensuring that deserving students have the opportunity to focus on their studies without the burden of financial constraints. Targeted at academically gifted individuals, this scholarship encourages applications from various disciplines, including science, technology, engineering, and humanities. Applicants must demonstrate strong academic performance and a commitment to contributing to the development of their home countries. The IDB not only aims to enhance individual educational outcomes but also seeks to cultivate future leaders who will play pivotal roles in their communities and nations. The application process is straightforward, requiring students to submit a comprehensive application form along with necessary documentation, including academic transcripts and recommendation letters. The IDB also provides support and guidance throughout the application process to ensure students understand the requirements and expectations. By investing in education, the IDB is dedicated to fostering sustainable development and promoting a culture of learning and innovation across its member countries. This initiative reflects the bank's commitment to socio-economic progress and its vision of creating a better future through education.</t>
  </si>
  <si>
    <t>https://www.isdb.org/</t>
  </si>
  <si>
    <t>1.Visit the official IDB scholarship website.
2.Create an account or log in if you already have one.
3.Complete the online application form.
4.Gather and upload the required documents.
5.Review your application to ensure all information is accurate.
6.Submit your application before the specified deadline.
7.Monitor your application status through the portal.</t>
  </si>
  <si>
    <t>1.Completed scholarship application form
2.Academic transcripts from previous studies
3.Recommendation letters from teachers or professionals
4.Proof of admission to an accredited institution
5.Passport copy or national ID
6.Statement of purpose or personal essay
7.Income statement or financial need assessment (if applicable)</t>
  </si>
  <si>
    <t>https://youtu.be/Bpi6UVZw6I0?si=adE4y5dusv5kMeW6</t>
  </si>
  <si>
    <t>https://www.linkedin.com/company/islamic-development-bank/</t>
  </si>
  <si>
    <t>Islamic Development Bank, Jeddah, Saudi Arabia</t>
  </si>
  <si>
    <t>The IET India Scholarship Award 2016 is an initiative by the Institution of Engineering and Technology (IET) aimed at recognizing and supporting outstanding engineering students across India. This scholarship program is designed to encourage academic excellence and promote the development of engineering skills among young talents. It provides financial assistance to help students cover their educational expenses, thus alleviating some of the financial burdens associated with pursuing higher education in engineering. By investing in the future of engineering professionals, the IET seeks to foster innovation and technological advancement in India.</t>
  </si>
  <si>
    <t>The IET India Scholarship Award 2016 is a distinguished program aimed at supporting the next generation of engineering leaders in India. This scholarship targets students enrolled in engineering programs at various recognized institutions across the country. It is specifically designed for undergraduate students who have demonstrated exceptional academic performance and a passion for engineering. The scholarship not only provides financial support to cover tuition fees and related educational expenses but also aims to inspire students to excel in their studies and engage in professional development activities. Applicants are encouraged to showcase their achievements, including academic excellence, participation in extracurricular activities, and commitment to community service. The selection process is competitive, with candidates evaluated based on their academic records, leadership qualities, and potential for future contributions to the engineering field. By empowering deserving students, the IET hopes to nurture innovative thinkers who can address the challenges facing the engineering profession. Additionally, recipients of the scholarship may benefit from mentorship opportunities and networking events, further enhancing their educational experience.</t>
  </si>
  <si>
    <t>https://www.theiet.org/</t>
  </si>
  <si>
    <t>1.Visit the official IET website.
2.Navigate to the scholarship section.
3.Create an account or log in if you already have one.
4.Complete the online application form.
5.Upload the required documents.
6.Review your application for accuracy.
7.Submit your application before the deadline.</t>
  </si>
  <si>
    <t>10Completed scholarship application form
2.Academic transcripts
3.Recommendation letters from faculty or mentors
4.Proof of admission to an engineering program
5.Statement of purpose or personal essay
6.Any additional documents as specified in the application guidelines</t>
  </si>
  <si>
    <t>https://youtu.be/OFy_9SJuMM8?si=1iIog7SyaHaGcKZ8</t>
  </si>
  <si>
    <t>91 80 4089 2222.</t>
  </si>
  <si>
    <t>The Institution of Engineering and Technology, India</t>
  </si>
  <si>
    <t>amitabhsinha@theiet.in</t>
  </si>
  <si>
    <t>The IISc Summer Fellowship in Science and Engineering is an initiative by the Indian Institute of Science (IISc), Bangalore, aimed at providing undergraduate and postgraduate students an opportunity to engage in cutting-edge research. This fellowship is designed to enhance students' research skills and deepen their understanding of various scientific and engineering disciplines. Participants work under the guidance of experienced faculty members, gaining practical exposure to ongoing research projects. The program not only helps students enhance their academic profiles but also fosters a passion for research and innovation.</t>
  </si>
  <si>
    <t>The IISc Summer Fellowship in Science and Engineering offers a unique opportunity for students to immerse themselves in a research environment at one of India's premier institutes. Aimed at undergraduate and postgraduate students from recognized institutions, the fellowship spans typically two months during the summer. Selected participants engage in hands-on research under the mentorship of IISc faculty, allowing them to explore various scientific and engineering domains. The fellowship encourages students to develop critical thinking and problem-solving skills while working on real-world projects. Participants are expected to contribute actively to their research teams and may also have the chance to present their findings at the end of the program. This initiative not only enhances the participants' technical skills but also helps them build valuable professional networks. The application process is competitive, requiring candidates to demonstrate academic excellence and a keen interest in research. The fellowship includes a stipend to support living expenses during the program, thereby making it accessible to a diverse range of students. By providing this platform, IISc aims to inspire future leaders in science and engineering and cultivate a strong research culture among young minds. Overall, the IISc Summer Fellowship serves a</t>
  </si>
  <si>
    <t>https://www.iisc.ac.in/</t>
  </si>
  <si>
    <t>1.Visit the official IISc website.
2.Navigate to the Summer Fellowship section.
3.Read the eligibility criteria and guidelines.
4.Fill out the online application form.
5.Upload the required documents.
6.Review your application for completeness and accuracy.
7.Submit the application before the deadline.</t>
  </si>
  <si>
    <t>1.Completed application form
2.Academic transcripts
3.Curriculum vitae (CV) or resume
4.Statement of purpose outlining research interests
5.Recommendation letters from faculty or mentors
6.Any additional documents as specified in the application guidelines</t>
  </si>
  <si>
    <t>https://youtu.be/HbQKM1DDhIU?si=KXw58eIFyMOZAP25</t>
  </si>
  <si>
    <t>91 80 2293 2382</t>
  </si>
  <si>
    <t>Indian Institute of Science, Bangalore, Karnataka, India</t>
  </si>
  <si>
    <t>office.ipciisc.ac.in</t>
  </si>
  <si>
    <t>Indian Institute of Technology, Guwahati, Assam, India</t>
  </si>
  <si>
    <t>The IIT Guwahati Institute Merit Scholarships (IMS) is a financial aid program designed to support outstanding students enrolled in various undergraduate and postgraduate programs at the Indian Institute of Technology, Guwahati. Established to promote academic excellence, this scholarship aims to alleviate financial burdens and encourage students to focus on their studies. It recognizes the hard work and dedication of students who demonstrate exceptional academic performance and potential. By providing financial assistance, the IMS aims to foster a vibrant academic environment and help students achieve their educational and career goals.</t>
  </si>
  <si>
    <t>The IIT Guwahati Institute Merit Scholarships (IMS) serve as a prestigious recognition for students who exhibit exceptional academic performance in their respective programs. Open to both undergraduate and postgraduate students, the scholarship is awarded based on merit, with the aim of motivating students to excel in their studies and research endeavors. Recipients of the IMS benefit from financial assistance that can be used to cover tuition fees, living expenses, and other educational costs, thereby easing the financial burden on them and their families. The selection process is rigorous, requiring students to maintain a high academic standing while also participating in extracurricular activities that showcase their leadership and teamwork skills. This holistic approach ensures that the scholarship supports well-rounded individuals who are not only academically proficient but also actively contribute to the campus community. The IMS fosters a culture of excellence at IIT Guwahati by promoting competitiveness among students and encouraging them to pursue innovative research and projects. Additionally, the scholarship enhances students' profiles, making them more attractive to potential employers and further educational opportunities. Overall, the IIT Guwahati Institute Merit Scholarships represent a significant investment in the future of India's engineering and technology sectors, helping to cultivate the next generation of leaders and innovators.</t>
  </si>
  <si>
    <t>https://www.iitg.ac.in/</t>
  </si>
  <si>
    <t>1.Visit the official IIT Guwahati website.
2.Navigate to the scholarships section.
3.Review the eligibility criteria and application guidelines.
4.Complete the online application form.
5.Upload the necessary documents.
6.Double-check your application for accuracy.
7.Submit the application before the deadline.</t>
  </si>
  <si>
    <t>1.Completed scholarship application form
2.Academic transcripts
3.A personal statement or statement of purpose
4.Recommendation letters from faculty or mentors
5.Proof of enrollment in a program at IIT Guwahati
6.Any additional documents as specified in the application instructions</t>
  </si>
  <si>
    <t>https://www.youtube.com/IITGuwahatiOfficial</t>
  </si>
  <si>
    <t>https://login.microsoftonline.com/</t>
  </si>
  <si>
    <t>IIT Bombay, Powai, Mumbai, Maharashtra, India</t>
  </si>
  <si>
    <t>The IITB-Monash Research Academy PhD Scholarships are a collaborative initiative between the Indian Institute of Technology Bombay (IITB) and Monash University, Australia, aimed at fostering high-quality research. These scholarships support students pursuing a PhD in various interdisciplinary fields, encouraging innovative research that addresses global challenges. The program provides a unique opportunity for students to work under renowned faculty from both institutions, gaining international exposure and expertise. By offering financial support and resources, the scholarships aim to cultivate the next generation of researchers and leaders in science and technology.</t>
  </si>
  <si>
    <t>The IITB-Monash Research Academy PhD Scholarships are designed to provide exceptional students with the opportunity to undertake cutting-edge research in collaboration with both IIT Bombay and Monash University. This program not only allows candidates to pursue their doctoral studies but also offers a unique cross-cultural experience, as students engage with academic experts and industry leaders from two prestigious institutions. The scholarships cover tuition fees, a living stipend, and travel expenses, thereby ensuring that students can focus entirely on their research without financial constraints. Applicants can choose from a wide range of research areas, including engineering, science, information technology, and environmental studies, among others. The selection process is highly competitive, with candidates evaluated on their academic achievements, research proposals, and potential contributions to their fields. Throughout their PhD journey, students benefit from a rich network of support, mentorship, and resources from both institutions, enhancing their academic and professional development. The academy encourages collaborative projects, allowing students to participate in workshops, seminars, and conferences that promote interdisciplinary learning and innovation. By fostering a culture of excellence and collaboration, the IITB-Monash Research Academy aims to contribute significantly to global research efforts and address pressing societal challenges. Ultimately, this scholarship program serves as a catalyst for the growth of talented researchers who are poised to make impactful contributions in their respective fields.</t>
  </si>
  <si>
    <t>https://www.iitbmonash.org/</t>
  </si>
  <si>
    <t>1.Visit the official IITB-Monash Research Academy website.
2.Review the eligibility criteria and available research areas.
3.Prepare your research proposal and supporting documents.
4.Complete the online application form.
5.Upload the required documents.
6.Submit your application before the deadline.
7.Monitor your application status through the portal.</t>
  </si>
  <si>
    <t>1.Completed application form
2.Research proposal
3.Academic transcripts
4.Curriculum vitae (CV)
5.Statement of purpose
6.Letters of recommendation (usually two)
7.Proof of English language proficiency (if applicable)</t>
  </si>
  <si>
    <t>https://youtu.be/nnxcUFniDZg?si=KT29Z4YpnvUZSuGx</t>
  </si>
  <si>
    <t>Not Provided</t>
  </si>
  <si>
    <t>Independence Day-Photography Competition</t>
  </si>
  <si>
    <t>The Independence Day Photography Competition is an annual event that encourages individuals to capture and celebrate the spirit of India's Independence Day through photography. This competition invites participants to showcase their creativity and artistic skills by submitting photographs that reflect the essence of freedom, patriotism, and cultural heritage. It aims to promote awareness and appreciation of India's rich history and diversity while providing a platform for budding photographers to gain recognition for their work. Winners receive awards and their photographs may be featured in exhibitions or publications.</t>
  </si>
  <si>
    <t>The Independence Day Photography Competition is designed to engage photographers of all skill levels in a creative exploration of India's Independence Day. Participants are invited to submit original photographs that encapsulate themes of freedom, unity, and the rich tapestry of Indian culture. This competition not only serves as a platform for artistic expression but also aims to raise awareness about the significance of Independence Day and the values it represents. Entrants can depict various aspects of the celebration, including traditional ceremonies, cultural performances, and personal interpretations of patriotism. The submitted works are evaluated by a panel of judges, who assess creativity, composition, and the ability to convey emotion and narrative through imagery. Additionally, the competition encourages community participation, inviting schools, colleges, and local organizations to take part and promote the event among their members. Winning entries are often showcased in exhibitions, providing exposure and recognition for emerging photographers. Moreover, the competition fosters a sense of camaraderie and healthy competition among participants, motivating them to push their creative boundaries. Overall, the Independence Day Photography Competition serves as a meaningful initiative to celebrate India's heritage while promoting the arts and encouraging a new generation of photographers to tell their stories through their lenses.</t>
  </si>
  <si>
    <t>1.Visit the official website of the Independence Day Photography Competition.
2.Review the competition guidelines and eligibility criteria.
3.Prepare your photographs according to the specified themes.
4.Complete the online application form (if applicable).
5.Upload your photographs as per the submission requirements.
6.Submit your entry before the deadline.
7.Keep an eye on the website for announcements regarding winners and exhibitions.</t>
  </si>
  <si>
    <t>1.Completed application form (if required)
2.High-resolution photographs (as per the submission guidelines)
3.Brief description or title for each photograph
4.Consent form (if required, especially for images featuring people)
5.Any additional documents specified in the competition rules</t>
  </si>
  <si>
    <t>(Note: Please verify the actual YouTube video link that provides guidance on how to participate in the competition.)</t>
  </si>
  <si>
    <t>info@independencedayphotocompetition.org</t>
  </si>
  <si>
    <t>The India Class XII Excellence Scholarship for Law, 2017, is a merit-based scholarship aimed at supporting students pursuing legal education in India. This initiative recognizes the hard work and dedication of high school graduates who have excelled academically and are aspiring to enter the field of law. The scholarship provides financial assistance to cover tuition fees and related educational expenses, enabling deserving students to focus on their studies without the burden of financial constraints. It aims to encourage bright minds to contribute to the legal profession and uphold justice in society.</t>
  </si>
  <si>
    <t xml:space="preserve">The India Class XII Excellence Scholarship for Law, 2017, is designed to support exceptional students who have completed their Class XII education and are seeking to pursue a law degree in India. This scholarship not only provides financial assistance to cover tuition fees and educational costs but also aims to motivate students to excel in their academic pursuits. Eligible candidates must demonstrate outstanding academic performance and a strong commitment to a career in law. The selection process involves a thorough evaluation of academic records, as well as an assessment of candidates' personal statements or essays outlining their aspirations and reasons for choosing a legal career. Recipients of the scholarship are expected to maintain a certain academic standard throughout their law studies, promoting a culture of excellence and diligence. Additionally, this initiative may include mentorship opportunities, where scholarship recipients can connect with legal professionals and gain insights into the field. By investing in the education of promising law students, the scholarship aims to foster a new generation of legal experts who can address societal challenges and advocate for justice. Overall, the India Class XII Excellence Scholarship for Law is a significant opportunity for students to realize their dreams and contribute positively to the legal landscape of India.
</t>
  </si>
  <si>
    <t>https://www.braingainmag.com/undergraduate-scholarships-the-university-of-nottingham.htm</t>
  </si>
  <si>
    <t>1.Visit the official scholarship website.
2.Review the eligibility criteria and application guidelines.
3.Prepare the necessary documents.
4.Complete the online application form.
5.Upload the required documents.
6.Submit your application before the deadline.
7.Monitor your application status through the website.</t>
  </si>
  <si>
    <t>1.Completed application form
2.Academic transcripts from Class XII
3.Statement of purpose outlining career goals
4.Letters of recommendation (if applicable)
5.Proof of admission to a law program
6.Any additional documents specified in the guidelines</t>
  </si>
  <si>
    <t>https://youtu.be/oyo3FVzlNQg?si=vYKEKVGOu4w1vnOL</t>
  </si>
  <si>
    <t>https://www.linkedin.com/company/1484122?goback=%2Efcs_GLHD_braingainmag_false_*2_*2_*2_*2_*2_*2_*2_*2_*2_*2_*2_*2&amp;trk=ncsrch_hits</t>
  </si>
  <si>
    <t>India Fellow, Mumbai, Maharashtra, India</t>
  </si>
  <si>
    <t>India Fellow Social Leadership Program</t>
  </si>
  <si>
    <t>The India Fellow Social Leadership Program is an initiative aimed at nurturing the next generation of social leaders in India. Designed for young professionals and graduates, this fellowship program focuses on empowering individuals to drive social change through practical experience and skill development. Participants work on grassroots projects with various organizations across the country, gaining firsthand insights into social challenges and solutions. The program emphasizes leadership, collaboration, and innovation, preparing fellows to create a positive impact in their communities and beyond.</t>
  </si>
  <si>
    <t>The India Fellow Social Leadership Program is a comprehensive one-year fellowship designed to equip young leaders with the skills and experience necessary to address pressing social issues in India. Targeted at graduates and young professionals, the program immerses participants in real-world projects with partner organizations working in various sectors, such as education, health, and environment. Throughout the fellowship, participants engage in intensive training sessions that cover leadership development, project management, and community engagement, fostering both personal and professional growth. The program emphasizes experiential learning, enabling fellows to apply their knowledge in practical settings while also reflecting on their experiences. Mentorship plays a vital role, with experienced social leaders guiding fellows as they navigate challenges and explore innovative solutions to complex problems. The fellowship also includes opportunities for networking and collaboration, allowing participants to connect with a diverse community of changemakers. By encouraging critical thinking and a hands-on approach to social issues, the India Fellow program aims to cultivate a generation of leaders who are not only aware of societal challenges but are also equipped to address them effectively. Ultimately, the fellowship seeks to inspire a commitment to social justice and empower fellows to drive sustainable change within their communities and across the nation.</t>
  </si>
  <si>
    <t>Training and mentoring, stipend of Rs 15,000 pm in rural and Rs 18,000 pm in urban areas.</t>
  </si>
  <si>
    <t>https://www.indiafellow.org/</t>
  </si>
  <si>
    <t>1.Visit the official India Fellow website.
2.Review the eligibility criteria and program details.
3.Prepare your application materials, including your CV and personal statement.
4.Complete the online application form.
5.Upload the required documents as specified.
6.Submit your application before the deadline.
7.Await further communication regarding the selection process.</t>
  </si>
  <si>
    <t>1.Completed application form
2.Curriculum vitae (CV) or resume
3.Personal statement outlining your motivations and goals
4.Academic transcripts
5.Letters of recommendation (if applicable)
6.Any additional documents as specified in the application guidelines</t>
  </si>
  <si>
    <t>https://youtu.be/9zohLjtOkD4?si=Nh0-k0uatoNxgJm6</t>
  </si>
  <si>
    <t>apply[at]indiafellow[dot]org</t>
  </si>
  <si>
    <t>The India High Achievers Scholarships, 2017, were established to support outstanding students pursuing higher education in various fields. This scholarship program aims to recognize and reward academic excellence while alleviating the financial burden on deserving students. By providing financial assistance for tuition fees and educational expenses, the scholarship encourages students to focus on their studies and achieve their academic goals. It also promotes a culture of excellence and ambition among young scholars in India.</t>
  </si>
  <si>
    <t>The India High Achievers Scholarships, 2017, are designed to empower academically gifted students by offering financial support for their higher education pursuits. Aimed at undergraduate and postgraduate students, the scholarship recognizes exceptional performance in academics and encourages recipients to maintain high standards throughout their studies. The selection process is competitive, considering factors such as academic achievements, extracurricular involvement, and personal statements. Recipients benefit from financial assistance that covers tuition fees, living expenses, and other educational costs, enabling them to concentrate fully on their studies without financial stress. Additionally, the program often includes opportunities for mentorship and networking, connecting scholars with professionals in their respective fields. This holistic approach not only supports individual academic growth but also fosters a sense of community among high achievers, encouraging collaboration and shared learning experiences. The scholarship aims to cultivate future leaders who can contribute meaningfully to society and drive progress in various sectors. By investing in the education of talented individuals, the India High Achievers Scholarships strive to promote excellence and innovation across disciplines, ultimately contributing to the nation's development and global standing.</t>
  </si>
  <si>
    <t>1.Visit the official scholarship website.
2.Review the eligibility criteria and guidelines.
3.Prepare the necessary documents.
4.Complete the online application form.
5.Upload the required documents.
6.Submit your application before the deadline.
7.Monitor your application status through the website.</t>
  </si>
  <si>
    <t>1.Completed application form
2.Academic transcripts
3.Personal statement or essay outlining your achievements and goals
4.Letters of recommendation (if applicable)
5.Proof of admission to a recognized institution
6.Any additional documents specified in the scholarship guidelines</t>
  </si>
  <si>
    <t>https://youtu.be/I-paO5yCo70?si=R8EUIIyLEyxjZUGb</t>
  </si>
  <si>
    <t>successcds@gmail.com</t>
  </si>
  <si>
    <t>India Innovation Challenge Design Contest</t>
  </si>
  <si>
    <t>The India Innovation Challenge Design Contest is a prestigious initiative aimed at fostering innovation and creativity among students and aspiring entrepreneurs in India. Organized by the Ministry of Electronics and Information Technology (MeitY) and the Indian Institute of Management Bangalore (IIMB), the contest encourages participants to develop innovative solutions to real-world problems. By providing a platform for young minds to showcase their ideas, the contest aims to nurture a culture of entrepreneurship and technological advancement in the country. Participants can receive mentorship, resources, and recognition for their efforts, making it a valuable experience for budding innovators.</t>
  </si>
  <si>
    <t>The India Innovation Challenge Design Contest is designed to inspire and empower students to create innovative products and solutions that address pressing societal challenges. The contest invites participants from various educational backgrounds to submit their project proposals, which undergo a rigorous evaluation process. Selected teams receive mentorship from industry experts and access to resources that help them refine their ideas and develop prototypes. The contest emphasizes collaboration, creativity, and practical problem-solving, encouraging participants to think critically about real-world issues. Throughout the competition, participants are provided with workshops and training sessions aimed at enhancing their design thinking and entrepreneurial skills. The final phase culminates in a grand showcase where finalists present their projects to a panel of judges and industry leaders. Winners are awarded cash prizes, mentorship opportunities, and recognition, which can significantly boost their academic and professional profiles. By bridging the gap between education and industry, the contest not only enhances participants’ skills but also promotes a spirit of innovation that is vital for India's growth in the global economy. Ultimately, the India Innovation Challenge Design Contest serves as a catalyst for young innovators, empowering them to contribute meaningfully to society through their creativity and entrepreneurial spirit.</t>
  </si>
  <si>
    <t>1.Visit the official contest website.
2.Review the eligibility criteria and guidelines.
3.Prepare your project proposal and required documents.
4.Complete the online application form.
5.Submit your project proposal before the deadline.
6.Participate in mentorship sessions and workshops (if selected).
7.Present your project at the final showcase.</t>
  </si>
  <si>
    <t>1.Completed application form
2.Project proposal detailing your innovative idea
3.CV or resume of team members
4.Any supporting documents that enhance your proposal
5.Letters of recommendation (if applicable)
6.Any additional documents specified in the contest guidelines</t>
  </si>
  <si>
    <t>https://www.youtube.com/mygovindia</t>
  </si>
  <si>
    <t>compliance[dash]officer[at]mygov[dot]in</t>
  </si>
  <si>
    <t>The India International Excellence Scholarship is a prestigious program designed to support Indian students aspiring to pursue higher education abroad. This scholarship aims to recognize and reward academic excellence and potential among students, helping to alleviate the financial burden associated with international study. By providing financial assistance, the scholarship encourages students to explore global educational opportunities and enhance their skills in a diverse learning environment. It is an excellent opportunity for young scholars to gain international exposure and experience.</t>
  </si>
  <si>
    <t>The India International Excellence Scholarship is targeted at outstanding Indian students who wish to pursue undergraduate or postgraduate degrees at international institutions. This scholarship program aims to foster global learning and cross-cultural understanding by enabling talented individuals to access world-class education. The selection process is competitive, with candidates evaluated based on their academic achievements, extracurricular involvement, and leadership potential. Recipients receive financial support that may cover tuition fees, living expenses, and travel costs, making it easier for them to focus on their studies. In addition to financial assistance, the scholarship often includes mentorship opportunities and workshops aimed at preparing students for their international academic journey. Scholars are encouraged to engage with a network of past recipients and professionals, providing valuable insights into navigating their educational paths. The scholarship program not only helps students enhance their academic credentials but also aims to develop global citizens who can contribute positively to society. By promoting educational opportunities on an international scale, the India International Excellence Scholarship seeks to empower the next generation of leaders and innovators. Ultimately, this initiative underscores the importance of education in building a more interconnected and understanding world.</t>
  </si>
  <si>
    <t>https://www.shiksha.com/studyabroad/scholarships/india-international-excellence-scholarship</t>
  </si>
  <si>
    <t>1.Visit the official scholarship website.
2.Review the eligibility criteria and application guidelines.
3.Prepare the necessary documents.
4.Complete the online application form.
5Upload required documents as specified.
6.Submit your application before the deadline.
7.Monitor your application status through the website.</t>
  </si>
  <si>
    <t>1.Completed application form
2.Academic transcripts
3.Statement of purpose or personal statement
4.Letters of recommendation
5.Proof of admission to an international institution
6.Any additional documents specified in the scholarship guidelines</t>
  </si>
  <si>
    <t>https://youtu.be/IN0N7BLk6j8?si=STByYUdtRWuT59WZ</t>
  </si>
  <si>
    <t>http://www.shiksha.com/</t>
  </si>
  <si>
    <t>The India Undergraduate Scholarship is aimed at helping meritorious students from various backgrounds pursue undergraduate studies in India. These scholarships may be funded by the government, private organizations, or educational institutions, and they aim to cover tuition fees, living expenses, and other educational costs. Scholarships are usually awarded based on merit, financial need, or specific categories like SC/ST, OBC, or minority communities. Popular scholarships include the Prime Minister’s Scholarship Scheme, INSPIRE Scholarship, and others that cater to students across diverse fields such as science, engineering, and humanities.</t>
  </si>
  <si>
    <t>India offers a variety of undergraduate scholarships, designed to help students from all socioeconomic backgrounds access quality higher education. The scholarships provide financial aid for tuition fees, accommodation, and sometimes travel expenses, depending on the scholarship. For example, the INSPIRE Scholarship for Science students or the Central Sector Scheme of Scholarships for College and University students are popular choices. Applicants are generally required to maintain a good academic record, and in some cases, preference is given to economically disadvantaged students or those from reserved categories. The goal of these scholarships is not only to reduce the financial burden on students but also to encourage talented students to pursue their dream careers without hindrance. The application process often involves submitting academic records, proof of family income, and sometimes recommendation letters or essays. In recent years, many of these scholarships have shifted to an online application process to make it more accessible for students across the country.</t>
  </si>
  <si>
    <t>https://scholarships.gov.in</t>
  </si>
  <si>
    <t xml:space="preserve">1.Identify the specific scholarship program that suits your qualifications. 2.Visit the official website for the scholarship (usually on the National Scholarship Portal). 3.Register on the portal with basic details like your name, email, and contact information. 4.Complete the application form by entering your personal and academic details. 5.Upload required documents (such as certificates, income proof, etc.). 6. Review the application and submit it.
</t>
  </si>
  <si>
    <t>1.Academic transcripts and certificates (Class 10 and 12) . 2.Proof of family income (income certificate). 3.Caste certificate (if applicable) . 4.Domicile certificateAadhar card or other identity proof. 5.Bank account details (for the transfer of funds). 6.Passport-sized photographs.</t>
  </si>
  <si>
    <t>https://youtu.be/oXHXiB-NeoU?si=fxe2h2BFhSqLJjgh</t>
  </si>
  <si>
    <t>011 69032222</t>
  </si>
  <si>
    <t>IndiaCustomerCare@britishcouncil.org</t>
  </si>
  <si>
    <t>The Indian Engineering Olympiad (IEO) is a prestigious national-level examination designed to assess the engineering aptitude of students across India. Aimed at undergraduate engineering students, it serves as a platform to identify and nurture engineering talent in various disciplines. The IEO encourages students to challenge themselves and gain recognition for their skills. By participating, candidates can enhance their problem-solving abilities, prepare for competitive exams, and build a strong foundation for their engineering careers.</t>
  </si>
  <si>
    <t>The Indian Engineering Olympiad is a comprehensive competition that aims to evaluate the engineering knowledge and analytical skills of undergraduate students from various engineering colleges across India. Conducted annually, the Olympiad consists of multiple-choice questions covering core subjects such as Mathematics, Physics, Chemistry, and specific engineering disciplines including Mechanical, Civil, Electrical, and Computer Science. Participants have the opportunity to showcase their proficiency and stand out among their peers. The exam is structured to not only test theoretical understanding but also practical application, making it a well-rounded assessment. Top performers receive recognition through awards, certificates, and even internship opportunities with leading companies, enhancing their career prospects. The IEO also serves as a preparatory platform for competitive exams like GATE and GRE. Furthermore, the Olympiad aims to foster a spirit of innovation and creativity among students, encouraging them to think critically and tackle real-world engineering challenges. The event promotes collaboration among engineering institutions and industry professionals, contributing to the overall development of the engineering community in India.</t>
  </si>
  <si>
    <t>Indian Engineering Olympiad Official Website</t>
  </si>
  <si>
    <t>1.Application Form: Fill out the online application form with your details. 2.Payment: Pay the examination fee through the available payment methods. 3.Preparation: Access study materials and resources provided on the website. 4.Exam Notification: Stay updated about the exam schedule and other announcements. 5.Attend the Exam: Download your admit card and appear for the exam on the scheduled date. 6.Results: Check your results on the website after the exam.</t>
  </si>
  <si>
    <t>1.Valid ID proof (Aadhaar, Passport, etc.) 2.Recent passport-sized photograph 3.Educational certificates (if applicable) 4.Proof of registration (confirmation email)</t>
  </si>
  <si>
    <t>https://youtu.be/hMoqelbxPeE?si=-RtftALWpyAJdCze</t>
  </si>
  <si>
    <t>info@scholarshipsinindia.com</t>
  </si>
  <si>
    <t>The SC-ST Scholarships at IIT Guwahati are designed to support students from Scheduled Castes (SC) and Scheduled Tribes (ST) backgrounds. These scholarships aim to promote educational equity and ensure that talented individuals from these communities have the opportunity to pursue higher education in engineering and technology. The initiative reflects the institute’s commitment to inclusivity and diversity, enabling students to access quality education without financial constraints. By providing financial assistance, the scholarships help alleviate the economic burden on students and encourage their academic and professional development.</t>
  </si>
  <si>
    <t>The SC-ST Scholarships at IIT Guwahati are aimed at fostering an inclusive academic environment by providing financial aid to deserving students from Scheduled Castes and Scheduled Tribes. The scholarships cover various aspects of academic expenses, including tuition fees, hostel fees, and other related costs, thereby ensuring that financial barriers do not impede the educational pursuits of these students. To qualify, applicants must meet specific eligibility criteria set by the institute, including a valid SC or ST certificate and satisfactory academic performance. The scholarship application process typically involves submitting an online application form along with necessary documentation. Recipients are expected to maintain good academic standing throughout their studies, as continued support may depend on academic performance. The program not only aids in reducing the financial burden but also empowers students by providing them with access to quality education and resources that can enhance their learning experience. Moreover, it aims to create a supportive community that values diversity and promotes equal opportunities in higher education.</t>
  </si>
  <si>
    <t>Official Website of IIT Guwahati</t>
  </si>
  <si>
    <t>1.Visit the official IIT Guwahati website. 2.Navigate to the scholarships section. 3.Find the SC-ST Scholarship application link. 4.Create an account or log in if you already have one. 5.Fill out the application form with the required details. 6.Upload the necessary documents as specified. 7.Review your application for accuracy. 8.Submit the application before the deadline.</t>
  </si>
  <si>
    <t>Valid SC/ST certificate Income certificate of the guardian Academic transcripts or marksheets Aadhar card or any valid ID proof Passport-sized photographs Any other documents as specified by the institute</t>
  </si>
  <si>
    <t>https://youtu.be/uobndZQkTQI?si=1bsrHbaAktyiOyWv</t>
  </si>
  <si>
    <t>Indian National Science Academy, New Delhi, India</t>
  </si>
  <si>
    <t>contact@getmyuni.com</t>
  </si>
  <si>
    <t>Indian National Science Academy Teachers Award</t>
  </si>
  <si>
    <t>The Indian National Science Academy (INSA) Teachers Award is a prestigious recognition aimed at honoring outstanding teachers in the field of science. This award acknowledges the critical role educators play in shaping the future of science and technology in India. By celebrating exemplary teaching practices, the award seeks to inspire educators to enhance their teaching methodologies and contribute significantly to the academic environment. It is an initiative that underscores the importance of quality education and the cultivation of scientific temper among students.</t>
  </si>
  <si>
    <t>The INSA Teachers Award is designed to recognize and reward exceptional teachers in science disciplines across India. This award aims to encourage innovative teaching practices that engage students and foster a love for science. Candidates for the award are evaluated based on their teaching effectiveness, commitment to student development, and contributions to educational practices in their institutions. The award promotes the integration of scientific knowledge with teaching methods, encouraging teachers to inspire their students through creativity and critical thinking. Awardees receive not only recognition but also financial support to enhance their teaching resources or undertake further research. By highlighting the importance of skilled educators, the INSA Teachers Award plays a vital role in promoting a robust scientific culture in educational institutions. This initiative is an important part of India's broader efforts to strengthen its educational framework, ensuring that future generations are equipped with the knowledge and skills needed to thrive in an increasingly complex world.</t>
  </si>
  <si>
    <t>INSA Teachers Award Official Website</t>
  </si>
  <si>
    <t>1.Eligibility Check: Ensure you meet the eligibility criteria set by INSA.
2.Application Form: Download the application form from the official website.
3.Documentation: Prepare the required documents supporting your application.
4.Submission: Fill in the application form and submit it along with the required documents before the deadline.
5.Selection Process: Your application will be reviewed by a committee, and shortlisted candidates may be called for an interview or additional information.
6.Award Notification: Successful candidates will be notified, and the awards will be presented at a ceremony.</t>
  </si>
  <si>
    <t>1.A completed application form
2.Curriculum Vitae (CV) or resume
3.Teaching philosophy statement
4.Evidence of teaching excellence (e.g., student feedback, teaching awards)
5.List of publications and contributions to science education
6.Recommendation letters from colleagues or supervisors
7.Any additional documentation as specified in the application guidelines</t>
  </si>
  <si>
    <t>https://youtu.be/cjm7wum7_9g?si=TYfH_0FDkrLofleY</t>
  </si>
  <si>
    <t>(011) 23235648</t>
  </si>
  <si>
    <t>fellowship@insa.nic.in</t>
  </si>
  <si>
    <t>The Indian Scholarship &amp; Trust Fund is dedicated to supporting students in India by providing financial assistance for their education. The fund aims to empower deserving individuals, particularly those from underprivileged backgrounds, to pursue their academic aspirations. By offering scholarships and grants, the initiative promotes educational equity and aims to alleviate the financial burdens faced by students. The scholarship covers various fields of study, enabling recipients to access quality education and contribute meaningfully to society.</t>
  </si>
  <si>
    <t>The Indian Scholarship &amp; Trust Fund is an initiative aimed at fostering educational opportunities for students from diverse backgrounds across India. It primarily targets those who demonstrate academic potential but lack the financial means to pursue their studies. The fund offers scholarships that can cover tuition fees, books, and other educational expenses, enabling recipients to focus on their studies without the stress of financial constraints. Applications are evaluated based on academic merit, financial need, and the applicant's commitment to their field of study. The trust is committed to ensuring that education remains accessible, especially for marginalized communities, thereby promoting social mobility and equality. By investing in the education of young minds, the fund plays a vital role in building a skilled workforce that can contribute to the nation’s development. Additionally, the scholarship encourages community engagement and social responsibility among recipients, fostering a sense of purpose beyond academic success. Through its transparent and structured application process, the Indian Scholarship &amp; Trust Fund seeks to create a positive impact on the educational landscape of India.</t>
  </si>
  <si>
    <t>http://www.indianscholarshiptrustfund.org/</t>
  </si>
  <si>
    <t>1.Eligibility Check: Review the eligibility criteria listed on the official website.
2.Application Form: Download and fill out the scholarship application form.
3.Documentation: Gather the required documents to support your application.
4.Submission: Submit the completed application form along with the necessary documents before the deadline.
5.Review Process: Applications will be evaluated, and shortlisted candidates may be contacted for further information.
6.Award Notification: Successful candidates will be informed about their scholarship awards.</t>
  </si>
  <si>
    <t>1.Completed application form
2.Proof of income (e.g., salary slips, tax returns)
3.Academic transcripts or certificates
4.Statement of purpose or personal essay
5.Recommendation letters from teachers or mentors
6.Identity proof (e.g., Aadhar card, passport)
7.Any additional documents as specified in the application guidelines</t>
  </si>
  <si>
    <t>https://youtu.be/-Q5JBQ61Rbk?si=0QbpWfTpNbL74RrM</t>
  </si>
  <si>
    <t>indianhighcommission.com.m</t>
  </si>
  <si>
    <t>Bonn, Germany</t>
  </si>
  <si>
    <t>indianhighcommission.com.my</t>
  </si>
  <si>
    <t>The Indian Women's Association, Bonn (IWAB) Scholarship is a unique initiative aimed at supporting the educational aspirations of Indian women residing in Germany. The scholarship is designed to empower female students and professionals by providing financial assistance for their studies or research projects. It recognizes the challenges faced by women in pursuing higher education and aims to promote gender equality in academic settings. Through this scholarship, IWAB fosters a community of empowered women who can contribute positively to society.</t>
  </si>
  <si>
    <t>The IWAB Scholarship is specifically tailored for Indian women studying or conducting research in Germany. It aims to support those who demonstrate academic excellence and have a clear vision for their future career paths. The scholarship assists with tuition fees, living expenses, or project-related costs, thereby alleviating financial burdens and enabling recipients to focus on their studies. Applicants are encouraged to showcase their academic achievements, community involvement, and future aspirations in their applications. The selection process considers both merit and financial need, ensuring that deserving candidates receive the necessary support. By investing in women's education, the IWAB Scholarship plays a crucial role in empowering female students to break barriers and pursue careers in various fields, including science, technology, arts, and social sciences. Furthermore, it aims to create a network of strong, educated women who can uplift each other and contribute to their communities, both in India and Germany. This initiative aligns with broader goals of promoting gender equality and enhancing the representation of women in academic and professional spheres.</t>
  </si>
  <si>
    <t>Indian Women's Association, Bonn (IWAB) Official Website</t>
  </si>
  <si>
    <t>1.Eligibility Check: Review the eligibility criteria outlined on the official website.
2.Application Form: Download the scholarship application form.
3.Documentation: Prepare the required supporting documents.
4.Submission: Fill out the application form and submit it along with the necessary documents before the deadline.
5.Selection Process: Applications will be reviewed, and shortlisted candidates may be invited for an interview.
6.Award Notification: Successful candidates will be notified about their scholarship award.</t>
  </si>
  <si>
    <t>1.Completed application form
2.Academic transcripts or certificates
3.Proof of enrollment in a recognized institution in Germany
4.Statement of purpose detailing your academic goals and aspirations
5.Letters of recommendation from professors or mentors
6.Proof of income or financial need
7.Any additional documents as specified in the application guidelines</t>
  </si>
  <si>
    <t>https://youtu.be/Z4lka4HTEFI?si=qSzmZyjAGEJeZJvA</t>
  </si>
  <si>
    <t>https://in.linkedin.com/company/collegedekho</t>
  </si>
  <si>
    <t>The Indo-U.S. Fellowship for Women in STEMM (Science, Technology, Engineering, Mathematics, and Medicine) is a prestigious program designed to support and empower women researchers from India. This fellowship facilitates collaborative research opportunities between Indian and U.S. institutions, promoting the exchange of knowledge and expertise. By providing financial support, the fellowship aims to enhance the participation of women in STEMM fields, encouraging them to pursue innovative research and leadership roles. It recognizes the challenges faced by women in these domains and seeks to create a more inclusive academic environment.</t>
  </si>
  <si>
    <t>The Indo-U.S. Fellowship for Women in STEMM is an initiative aimed at fostering collaboration and promoting gender equity in scientific research. It offers women scholars from India the opportunity to conduct research in leading U.S. institutions, thereby enhancing their skills and expanding their professional networks. The fellowship covers travel expenses, living costs, and research-related expenditures, allowing recipients to focus entirely on their research projects. Applicants are evaluated based on their academic achievements, the relevance of their proposed research, and their potential impact on the field. The program encourages interdisciplinary approaches and aims to build partnerships that will benefit both the Indian and U.S. scientific communities. Through this fellowship, women are empowered to take on leadership roles in STEMM fields, contributing to innovative solutions for global challenges. By creating a supportive ecosystem, the Indo-U.S. Fellowship not only advances individual careers but also strengthens the overall presence of women in research and academia. The initiative seeks to inspire future generations of female scientists and researchers, ultimately leading to a more diverse and inclusive scientific community.</t>
  </si>
  <si>
    <t>https://www.indousfellowship.org/</t>
  </si>
  <si>
    <t>1.Eligibility Check: Review the eligibility criteria on the official website.
2.Application Form: Download and complete the application form.
3.Documentation: Prepare the necessary supporting documents.
4.Submission: Submit the application form and documents by the specified deadline.
5.Selection Process: Applications will be reviewed, and shortlisted candidates may be invited for interviews.
6.Award Notification: Successful candidates will be informed about their fellowship awards.</t>
  </si>
  <si>
    <t>1.Completed application form
2.Curriculum Vitae (CV)
3.Research proposal detailing the project and its relevance
4.Letters of recommendation from academic or professional mentors
5.Academic transcripts
5.Proof of current enrollment or employment
6.Any additional documents as specified in the application guidelines</t>
  </si>
  <si>
    <t>https://youtu.be/eI7-4ow27F4?si=IRdvHDpiyMjg6pGg</t>
  </si>
  <si>
    <t>91-11-23321552</t>
  </si>
  <si>
    <t>IndusInd Bank, Mumbai, Maharashtra, India</t>
  </si>
  <si>
    <t>https://www.linkedin.com/company/iusstf/</t>
  </si>
  <si>
    <t>The IndusInd Foundation Merit-cum-Means Scholarship is an initiative aimed at supporting deserving students in India who exhibit both academic excellence and financial need. This scholarship is designed to empower students from various socio-economic backgrounds, enabling them to pursue higher education without financial constraints. By providing financial assistance for tuition fees and related expenses, the foundation seeks to foster educational equity and create opportunities for talented individuals. The program aims to encourage students to excel in their studies and contribute positively to society.</t>
  </si>
  <si>
    <t>The IndusInd Foundation Merit-cum-Means Scholarship is a distinguished program aimed at providing financial assistance to deserving students in India, combining merit-based criteria with financial need assessments. This scholarship is intended for students enrolled in undergraduate and postgraduate programs across various disciplines, including engineering, medicine, humanities, and commerce. The scholarship not only covers tuition fees but also supports other essential expenses such as books, accommodation, and study materials. Candidates are required to demonstrate academic excellence through their previous performance while also providing proof of their financial situation to ensure that aid is directed towards those who truly need it. The selection process involves a thorough evaluation of academic records, financial documents, and, in some cases, personal interviews to gauge the applicant's commitment to their field of study. By investing in the education of talented individuals, the IndusInd Foundation aims to bridge the gap between potential and opportunity, empowering students to achieve their dreams and make meaningful contributions to society. This initiative reflects the foundation’s commitment to social responsibility and its belief in the transformative power of education, ultimately aiming to cultivate a skilled workforce that can drive progress and innovation in the country.</t>
  </si>
  <si>
    <t>https://www.indusindfoundation.org/</t>
  </si>
  <si>
    <t>1.Eligibility Check: Review the eligibility criteria outlined on the official website.
2.Application Form: Download the scholarship application form.
3.Documentation: Gather the necessary supporting documents.
4.Submission: Complete and submit the application form along with required documents before the deadline.
5.Selection Process: Applications will be evaluated, and shortlisted candidates may be contacted for further steps.
6.Award Notification: Successful candidates will receive notification regarding their scholarship status.</t>
  </si>
  <si>
    <t>1.Completed application form
2.Academic transcripts or certificates
3.Proof of income or financial need (e.g., salary slips, tax returns)
4.Statement of purpose outlining your educational goals
5.Letters of recommendation from teachers or mentors
6.Identity proof (e.g., Aadhar card, passport)
7.Any additional documents as specified in the application guidelines</t>
  </si>
  <si>
    <t>https://youtu.be/x852i89mWF8?si=bKV2fbUKomGcVk73</t>
  </si>
  <si>
    <t>Inlaks Shivdasani Foundation, Mumbai, Maharashtra, India</t>
  </si>
  <si>
    <t>The Inlaks Fellowships for Indian Classical Music is a prestigious program aimed at nurturing and promoting the rich traditions of Indian classical music. Established by the Inlaks Shivdasani Foundation, these fellowships provide talented musicians with the opportunity to pursue advanced studies and training under renowned masters. The fellowship not only supports individuals in enhancing their skills but also encourages the preservation and dissemination of Indian classical music. Participants gain invaluable exposure to various styles and forms, fostering cultural exchange and artistic growth.</t>
  </si>
  <si>
    <t>The Inlaks Fellowships for Indian Classical Music is designed for exceptional musicians who aspire to deepen their knowledge and proficiency in the classical traditions of India. This fellowship offers financial support to selected candidates for a duration that typically spans 6 to 12 months, allowing them to study with esteemed gurus or institutions both in India and abroad. Applicants are encouraged to demonstrate their commitment to their art form through a rigorous selection process that evaluates their artistic achievements, potential for growth, and dedication to preserving the cultural heritage of Indian classical music. The fellowship also emphasizes the importance of sharing knowledge; therefore, fellows are expected to engage in community outreach or educational initiatives. This initiative not only aids individual artists but also contributes to the broader cultural landscape by encouraging the next generation of musicians to explore and innovate within this rich musical tradition. By facilitating mentorship and enhancing skills, the Inlaks Fellowships serve as a vital platform for the promotion and evolution of Indian classical music, ensuring its continued relevance in a rapidly changing world.</t>
  </si>
  <si>
    <t>Inlaks Fellowships</t>
  </si>
  <si>
    <t xml:space="preserve">1.0Visit the official website.
2.Review the eligibility criteria and fellowship details.
3.Prepare the required documents.
4.Fill out the online application form.
5.Submit the application before the deadline.
6.Attend an interview if shortlisted.
</t>
  </si>
  <si>
    <t>1.Detailed resume/CV.
2.Statement of purpose outlining your goals and aspirations.
3.Letters of recommendation from relevant authorities or mentors.
4.Audio/video samples of your musical performances.
5.Academic certificates and relevant transcripts.</t>
  </si>
  <si>
    <t>https://youtu.be/su2Xbsg4vJY?si=L5q3CWs2T9IGgTk0</t>
  </si>
  <si>
    <t>Department of Science and Technology, Government of India</t>
  </si>
  <si>
    <t xml:space="preserve">
info@vidhyaa.in</t>
  </si>
  <si>
    <t>The Inspire Merit cum Means Scholarship is an initiative by the Government of India aimed at providing financial assistance to students from economically weaker sections pursuing higher education. This scholarship recognizes academic excellence while ensuring that financial constraints do not hinder talented students from achieving their educational goals. By supporting students in fields like engineering, medicine, and science, the program fosters the development of skilled professionals who can contribute to the nation’s progress. The scholarship not only alleviates financial burdens but also empowers students to focus on their studies and excel in their chosen fields.</t>
  </si>
  <si>
    <t>The Inspire Merit cum Means Scholarship is designed to support students from economically disadvantaged backgrounds who have demonstrated outstanding academic performance. This scholarship provides financial aid for tuition fees, study materials, and other educational expenses, enabling recipients to pursue their studies without the constant worry of financial instability. Eligible candidates must be enrolled in recognized undergraduate or postgraduate programs across various fields, including engineering, medicine, and science. The selection process is based on a combination of merit and financial need, ensuring that deserving students receive the necessary support. In addition to financial assistance, the program aims to motivate students to maintain high academic standards and encourages them to contribute positively to society. Scholars are also encouraged to engage in extracurricular activities that enhance their personal development. The Inspire Merit cum Means Scholarship not only aims to bridge the educational gap for underprivileged students but also plays a crucial role in promoting social equity and inclusion within the education system. By empowering talented individuals, this initiative contributes to the overall development of the nation’s human resources, fostering a generation of skilled and capable professionals.</t>
  </si>
  <si>
    <t>Inspire Scholarship</t>
  </si>
  <si>
    <t>1.Visit the official website.
2.Check the eligibility criteria and guidelines.
3.Fill out the online application form.
4.Upload the necessary documents.
5.Submit the application before the deadline.
6.Keep track of application status and follow up if needed.</t>
  </si>
  <si>
    <t>1Aadhar card or relevant identity proof.
2.Income certificate of the family.
3.Academic certificates and mark sheets.
4.Admission letter from the institution.
5.Bank details for scholarship disbursement.
6.Any other relevant documents as specified in the application.</t>
  </si>
  <si>
    <t>https://youtu.be/ISgIuFpdzPk?si=xu7drfABiDG-aR7e</t>
  </si>
  <si>
    <t>INSPIRE Scholarship For Higher Education (SHE)</t>
  </si>
  <si>
    <t>The INSPIRE Scholarship for Higher Education (SHE) is an initiative by the Government of India aimed at encouraging and supporting students who excel in science and technology. Designed for students pursuing undergraduate courses in natural and basic sciences, the scholarship aims to promote scientific education and research among the youth. This financial aid helps students cover their educational expenses, allowing them to focus on their studies without financial constraints. By investing in the education of bright minds, the INSPIRE SHE scholarship aims to cultivate a future generation of scientists and innovators in India.</t>
  </si>
  <si>
    <t>The INSPIRE Scholarship for Higher Education (SHE) is tailored for outstanding students who have demonstrated excellence in science and mathematics at the higher secondary level. This scholarship provides financial assistance of up to INR 80,000 per year for a maximum of five years, supporting students enrolled in undergraduate programs in natural and basic sciences, including physics, chemistry, biology, and mathematics. The selection process is based on a combination of merit and performance in the Class 12 examination, ensuring that only the most deserving candidates receive this prestigious award. The scholarship not only covers tuition fees but also provides funds for laboratory expenses, project work, and other essential academic requirements. Furthermore, the INSPIRE SHE scholarship encourages recipients to engage in research activities, fostering a culture of inquiry and exploration among young scholars. Students are also expected to participate in outreach programs that promote science education in their communities, thereby contributing to societal advancement. By empowering talented students from diverse backgrounds, this initiative aims to build a robust scientific workforce that can address contemporary challenges and drive innovation in the country. The INSPIRE SHE scholarship serves as a stepping stone for aspiring scientists, ensuring that financial limitations do not hinder their pursuit of knowledge and excellence in the field of science.</t>
  </si>
  <si>
    <t>http://www.online-inspire.gov.in/</t>
  </si>
  <si>
    <t>1.Visit the official website.
2.Review eligibility criteria and guidelines.
3.Complete the online application form.
4.Upload required documents.
5.Submit the application before the deadline.
6.Track the status of your application.</t>
  </si>
  <si>
    <t xml:space="preserve">1.Aadhar card or identity proof.
2.Class 12 mark sheet.
3.Admission letter from the institution.
4.Bank details for scholarship disbursement.
5.Income certificate of the family.
6.Any other documents as specified in the application.
</t>
  </si>
  <si>
    <t>https://youtu.be/lfAS-_7h_ks?si=BgiILfub3rLRTza2</t>
  </si>
  <si>
    <t>0124-6690020</t>
  </si>
  <si>
    <t>Internshala, Gurgaon, Haryana, India</t>
  </si>
  <si>
    <t>inspire.prog-dst@nic.in</t>
  </si>
  <si>
    <t>Internshala Career Scholarship for Girls</t>
  </si>
  <si>
    <t>The Internshala Career Scholarship for Girls is a unique initiative aimed at empowering young women in India by providing financial assistance for their education and career development. This scholarship seeks to support talented girls who face financial barriers to pursuing higher education. By alleviating financial stress, the program encourages girls to focus on their studies and personal growth. It aims to promote gender equality in education and career opportunities, fostering a generation of empowered women ready to contribute to society.</t>
  </si>
  <si>
    <t>The Internshala Career Scholarship for Girls offers financial aid of up to INR 25,000 to deserving female students across India who are currently enrolled in undergraduate or diploma programs. The scholarship is designed to support women who have shown exceptional academic performance but require financial assistance to continue their education. Applicants are evaluated based on their academic records, personal essays, and recommendations, with a focus on their determination to pursue their career goals despite economic challenges. The application process is straightforward and encourages participants to articulate their aspirations and the impact the scholarship would have on their lives. Beyond financial support, the scholarship aims to inspire confidence and ambition in young women, encouraging them to take bold steps towards their career aspirations. Recipients of the scholarship are also provided with mentorship opportunities and access to resources that can help them navigate their professional journeys. This initiative not only addresses the financial constraints faced by female students but also promotes the importance of education as a means to achieve gender equity in the workforce. By investing in the education of girls, the Internshala Career Scholarship for Girls contributes to building a more inclusive and equitable society where women can thrive in various fields.</t>
  </si>
  <si>
    <t>1.Visit the official website.
2.Check the eligibility criteria and scholarship details.
3.Fill out the online application form.
4.Upload the necessary documents.
5.Submit the application before the deadline.
6.Monitor the application status for updates.</t>
  </si>
  <si>
    <t>1.Aadhar card or identity proof.
2.Academic transcripts or mark sheets.
3.Admission proof for the current course.
4.A personal essay outlining goals and aspirations.
5.Recommendation letters (if required).
6.Income certificate or financial documents.</t>
  </si>
  <si>
    <t>https://youtu.be/sV53QnlqaeQ?si=0CwEOSI9IdWWc5zc</t>
  </si>
  <si>
    <t>university.relations@internshala.com</t>
  </si>
  <si>
    <t>The Ishan Uday Scholarships are designed to support students from the northeastern states of India who are pursuing higher education. Launched by the Government of India, these scholarships aim to promote education and uplift economically disadvantaged students in the region. The initiative not only provides financial assistance for tuition and educational expenses but also encourages academic excellence and personal development. By facilitating access to quality education, the scholarship aims to empower students and foster a skilled workforce in the northeastern states.</t>
  </si>
  <si>
    <t>The Ishan Uday Scholarships are specifically aimed at supporting students from the eight northeastern states of India—Arunachal Pradesh, Assam, Manipur, Meghalaya, Mizoram, Nagaland, Tripura, and Sikkim. This scholarship program offers financial assistance of up to INR 54,000 per year to students pursuing undergraduate and postgraduate courses in recognized institutions across India. Eligible candidates must be from economically weaker sections and should have secured admission based on merit. The application process involves submitting an online form along with required documents to demonstrate eligibility. The scholarship not only covers tuition fees but also provides funds for books, study materials, and other essential expenses, ensuring that financial constraints do not hinder the academic pursuits of deserving students. The initiative emphasizes the importance of higher education in breaking the cycle of poverty and fostering socio-economic development in the region. By empowering young minds, the Ishan Uday Scholarships contribute to building a robust educational framework and encouraging students to aspire for higher achievements. Additionally, the program aims to enhance regional representation in various professional fields, thereby promoting holistic growth and development across the northeastern states of India.</t>
  </si>
  <si>
    <t>Ishan Uday Scholarships</t>
  </si>
  <si>
    <t>1.Visit the official scholarship portal.
2.Review eligibility criteria and guidelines.
3.Register for an account on the portal.
4.Fill out the online application form.
5.Upload required documents.
6.Submit the application before the deadline.
7.Check application status regularly.</t>
  </si>
  <si>
    <t>1.Aadhar card or identity proof.
2.Income certificate of the family.
3.Academic certificates and mark sheets.
4.Admission letter from the institution.
5.Bank details for scholarship disbursement.
6.Any other relevant documents as specified.</t>
  </si>
  <si>
    <t>https://youtu.be/QIn0MWzV6IQ?si=wMUZMHXlgYLN40xv</t>
  </si>
  <si>
    <t>scholarships@gov.in.</t>
  </si>
  <si>
    <t>Science and Engineering Research Board, New Delhi, India</t>
  </si>
  <si>
    <t>The J C Bose National Fellowship, instituted by the Science and Engineering Research Board (SERB), is a prestigious program aimed at recognizing and supporting outstanding researchers in India. Named after the renowned scientist Jagadish Chandra Bose, this fellowship seeks to promote innovative research in various fields of science and engineering. It provides financial support to researchers to pursue high-quality research projects, enhancing the nation’s scientific and technological capabilities. By empowering talented individuals, the fellowship aims to foster a culture of excellence and innovation in scientific research in India.</t>
  </si>
  <si>
    <t>The J C Bose National Fellowship is designed to support scientists and researchers who have made significant contributions to their respective fields and are engaged in advanced research activities. This fellowship is open to active researchers in various disciplines of science and engineering, providing them with substantial financial support to facilitate their research work. Fellows receive an annual grant that covers their salary, research expenses, and other associated costs, enabling them to focus entirely on their research projects. The selection process is highly competitive, based on the applicant's past achievements, research proposal, and the potential impact of their work. The fellowship also emphasizes collaboration and encourages recipients to engage with other researchers and institutions, fostering interdisciplinary approaches to problem-solving. By promoting high-quality research, the J C Bose National Fellowship contributes to the overall advancement of science and technology in India. Furthermore, it aims to enhance the global competitiveness of Indian researchers and institutions, encouraging them to participate in international collaborations. This initiative not only acknowledges the efforts of individual researchers but also seeks to inspire the next generation of scientists, ensuring a robust and dynamic research ecosystem in the country.</t>
  </si>
  <si>
    <t>J C Bose National Fellowship</t>
  </si>
  <si>
    <t>1.Visit the official SERB website.
2.Review the eligibility criteria and fellowship guidelines.
3.Prepare your research proposal and required documents.
4.Fill out the online application form.
5.Submit the application before the deadline.
6.Monitor application status for updates.</t>
  </si>
  <si>
    <t>1.Curriculum Vitae (CV).
2.Research proposal outlining your project.
3.List of publications and past research work.
4.Recommendations from referees.
5.Any other documents as specified in the application.</t>
  </si>
  <si>
    <t>https://youtu.be/UYyrXGdhok0?si=DNJ9LTTw8msiByQm</t>
  </si>
  <si>
    <t>91-120-2404437</t>
  </si>
  <si>
    <t>Navodaya Vidyalaya Samiti, Noida, Uttar Pradesh, India</t>
  </si>
  <si>
    <t>serb@serb.gov.in</t>
  </si>
  <si>
    <t>The Jawahar Navodaya Vidyalaya (JNV) Selection Test for Class 11 is an entrance examination conducted to fill vacant seats in JNVs across India. These schools aim to provide quality education to talented students, especially from rural areas, regardless of their socio-economic background. The selection test is an opportunity for students who have completed Class 10 to gain admission into the prestigious Navodaya system, known for its rigorous academic standards and holistic development. The initiative reflects the government’s commitment to promoting education and equity in learning opportunities.</t>
  </si>
  <si>
    <t>The Jawahar Navodaya Vidyalaya Selection Test for Class 11 is designed to identify and admit talented students into JNVs that may have vacant seats after the initial admissions. This test assesses the academic abilities of candidates in subjects such as mathematics, science, and language skills, ensuring that selected students meet the high standards of education at JNVs. The examination is conducted annually, and eligible candidates must have completed Class 10 from a recognized board. The application process involves filling out an online form, where students provide necessary personal and academic details. Candidates are advised to prepare thoroughly, as the test evaluates both conceptual understanding and problem-solving abilities. After the examination, selected students are offered admission based on their performance and available seats in their preferred JNV. Additionally, the program emphasizes the all-round development of students through extracurricular activities, fostering leadership and teamwork skills. JNVs provide a nurturing environment that encourages academic excellence, cultural exchange, and social responsibility. By promoting access to quality education, the Jawahar Navodaya Vidyalaya Selection Test aims to empower students from diverse backgrounds and prepare them for future challenges.</t>
  </si>
  <si>
    <t>Jawahar Navodaya Vidyalaya</t>
  </si>
  <si>
    <t>1Visit the official JNV website.
2.Check the eligibility criteria and test details.
3.Register for the selection test by filling out the online application form.
4.Upload required documents.
5.Submit the application before the deadline.
6.Prepare for the examination by reviewing the syllabus and previous papers.</t>
  </si>
  <si>
    <t>1.Aadhar card or identity proof.
2.Class 10 mark sheet or certificate.
3.Passport-sized photographs.
4.Residential proof (if required).
5.Any other documents specified in the application guidelines.</t>
  </si>
  <si>
    <t>https://youtu.be/_yB3jRXaxzs?si=jqYfz-mXvelg38rU</t>
  </si>
  <si>
    <t>navodaya@nic.in.</t>
  </si>
  <si>
    <t>Jawaharlal Nehru Memorial Fund, New Delhi, India</t>
  </si>
  <si>
    <t>Jawaharlal Nehru Memorial Fund Fellowships</t>
  </si>
  <si>
    <t>The Jawaharlal Nehru Memorial Fund Fellowships are prestigious research grants established to honor the legacy of India's first Prime Minister, Jawaharlal Nehru. Aimed at fostering advanced study and research in social sciences and related fields, these fellowships support scholars who wish to contribute to India's development through innovative research. The program encourages both Indian and foreign scholars to engage in interdisciplinary studies, promoting a deeper understanding of contemporary issues. By providing financial assistance, the fellowship enables recipients to focus on their research without financial burdens.</t>
  </si>
  <si>
    <t>The Jawaharlal Nehru Memorial Fund Fellowships are designed to support advanced research and studies that align with the vision and values exemplified by Jawaharlal Nehru. The fellowships are primarily targeted at scholars pursuing research in fields such as economics, political science, sociology, and history, among others. Each selected fellow receives a monthly stipend, research grant, and other benefits to facilitate their academic pursuits. The application process is competitive, requiring candidates to submit a detailed research proposal, outlining the significance and objectives of their study. Selection is based on the quality of the proposal, the applicant’s academic background, and the potential impact of the research on society. The fellowship encourages interdisciplinary approaches, allowing scholars to collaborate across various fields and institutions. By fostering rigorous research, the program aims to address pressing issues faced by India and contribute to policy formulation and public discourse. Additionally, the fellowship promotes engagement with local communities and stakeholders, ensuring that research findings are relevant and actionable. Recipients are expected to present their work at seminars and conferences, thereby enhancing their academic profiles and contributing to the broader academic community. The Jawaharlal Nehru Memorial Fund Fellowships play a vital role in nurturing intellectual talent and promoting scholarly contributions that resonate with Nehru's vision for a progressive and inclusive India.</t>
  </si>
  <si>
    <t>Jawaharlal Nehru Memorial Fund</t>
  </si>
  <si>
    <t>1.Visit the official website.
2.Review the eligibility criteria and fellowship details.
3.Prepare a comprehensive research proposal.
4.Fill out the online application form.
5.Upload the required documents.
6.Submit the application before the deadline.
7.Monitor the status of your application.</t>
  </si>
  <si>
    <t>1.Curriculum Vitae (CV).
2.Detailed research proposal.
3.Academic certificates and transcripts.
4.Letters of recommendation.
5.Any other relevant documents as specified.</t>
  </si>
  <si>
    <t>https://youtu.be/rodsNTjR0mA?si=rNeY80MdFPN-VkTo</t>
  </si>
  <si>
    <t>91-11-23013641</t>
  </si>
  <si>
    <t>jnmf@jnmf.in.</t>
  </si>
  <si>
    <t>The JM Sethia Merit Scholarship Scheme is an initiative aimed at providing financial support to deserving students pursuing higher education in India. Established in memory of J.M. Sethia, the scholarship seeks to promote academic excellence among students from economically weaker sections. It offers financial assistance to help cover tuition fees and other educational expenses, thereby enabling students to focus on their studies without financial strain. The scholarship aims to empower students to achieve their educational goals and contribute positively to society.</t>
  </si>
  <si>
    <t>The JM Sethia Merit Scholarship Scheme is specifically designed to assist meritorious students who demonstrate both academic excellence and financial need. This scholarship primarily targets undergraduate and postgraduate students enrolled in recognized institutions across various fields of study. Eligible candidates must have achieved a specified minimum percentage in their previous examinations and must provide evidence of their financial situation. The application process involves submitting a detailed form along with necessary documents, such as academic records and income certificates. Once awarded, the scholarship provides a significant financial grant that can be used to cover tuition fees, books, and other educational costs. The selection process is highly competitive, focusing on academic performance and the potential impact of the scholarship on the recipient’s educational journey. In addition to financial support, the scheme aims to foster a sense of responsibility among recipients, encouraging them to engage in community service or mentoring activities. By investing in the education of bright young minds, the JM Sethia Merit Scholarship Scheme not only helps individuals achieve their dreams but also contributes to the broader goal of societal upliftment through education. This initiative underscores the importance of supporting talented students from disadvantaged backgrounds, ensuring that financial barriers do not impede their educational aspirations.</t>
  </si>
  <si>
    <t>1.Visit the official website.
2.Review eligibility criteria and scholarship details.
3.Complete the online application form.
4.Gather and upload required documents.
5.Submit the application before the deadline.
6.Check application status for updates.</t>
  </si>
  <si>
    <t>1.Aadhar card or identity proof.
2.Academic certificates and mark sheets.
3.Income certificate of the family.
4.Admission proof from the institution.
5.Bank details for scholarship disbursement.
6.Any other documents specified in the application guidelines.</t>
  </si>
  <si>
    <t>https://youtu.be/PWhhyuMvzyU?si=H8CP8MQ1uOaKRchH</t>
  </si>
  <si>
    <t>91 33 2242 1250</t>
  </si>
  <si>
    <t>Indian Institute of Technology, Indore, Madhya Pradesh, India</t>
  </si>
  <si>
    <t>info@jmsethiascholarship.org</t>
  </si>
  <si>
    <t>JRF, Indian Institute of Technology Indore</t>
  </si>
  <si>
    <t xml:space="preserve">The Junior Research Fellowship (JRF) at the Indian Institute of Technology (IIT) Indore is a prestigious opportunity aimed at supporting research scholars in their pursuit of advanced studies. This fellowship is designed for students who wish to engage in research work leading to a PhD in various disciplines offered by IIT Indore. By providing financial support, the JRF enables students to focus on their research projects without financial constraints. It promotes innovative research that contributes to academic excellence and technological advancement in India.
</t>
  </si>
  <si>
    <t>The JRF program at IIT Indore offers a unique platform for aspiring researchers to pursue their academic goals in a dynamic research environment. The fellowship is open to candidates who have qualified for national level examinations such as NET or GATE, or those who meet specific eligibility criteria set by the institute. Successful candidates receive a monthly stipend along with additional research support to cover expenses related to their projects. The selection process typically involves a rigorous evaluation of academic records, research proposals, and interviews. This initiative encourages interdisciplinary research, fostering collaboration among students and faculty from diverse fields. Research areas at IIT Indore span various domains, including engineering, sciences, humanities, and social sciences, allowing JRF holders to work on cutting-edge projects. The program not only enhances the academic credentials of the fellows but also contributes to the overall research output of the institute. Fellows are expected to present their findings at conferences and publish their work in reputed journals, further promoting knowledge dissemination. Through this fellowship, IIT Indore aims to cultivate a rich academic culture that empowers students to become thought leaders and innovators in their respective fields.</t>
  </si>
  <si>
    <t>IIT Indore JRF</t>
  </si>
  <si>
    <t>1.Visit the official IIT Indore website.
2.Check the eligibility criteria for the JRF program.
3.Prepare your research proposal and required documents.
4.Apply through the online application portal.
5.Submit your application before the deadline.
6.Keep track of the application status.</t>
  </si>
  <si>
    <t>1.Curriculum Vitae (CV).
2.Academic transcripts and certificates.
3.Research proposal detailing your intended study.
4.Proof of eligibility (like GATE or NET qualification).
5.Recommendation letters (if required).
6.Any other documents specified in the application guidelines.</t>
  </si>
  <si>
    <t>https://youtu.be/apswEIj8D3o?si=MJ1t-0zdkOtixPpZ</t>
  </si>
  <si>
    <t>jrf@iiti.ac.in.</t>
  </si>
  <si>
    <t>The JSPN Scholarship is a financial aid initiative aimed at supporting students from underprivileged backgrounds in India. This scholarship seeks to provide financial assistance for education, helping students overcome economic barriers that may hinder their academic pursuits. By offering this support, the JSPN Scholarship promotes educational equity and empowers deserving students to achieve their academic goals. The program emphasizes merit and potential, encouraging students to excel in their studies and contribute positively to society.</t>
  </si>
  <si>
    <t>The JSPN Scholarship is designed to assist students from economically disadvantaged backgrounds who demonstrate academic potential and a strong commitment to their education. This scholarship targets both undergraduate and postgraduate students across various fields of study, providing crucial financial support to cover tuition fees, books, and other educational expenses. Eligible candidates must meet specific academic criteria and demonstrate financial need through relevant documentation. The application process involves submitting an online form that includes personal and academic information, along with supporting documents. The selection is based on merit, financial status, and the applicant's dedication to their field of study. By alleviating financial burdens, the JSPN Scholarship empowers students to focus on their academic and professional development, enabling them to pursue higher education and improve their future prospects. Additionally, recipients are encouraged to engage in community service or mentoring activities, promoting a sense of responsibility and giving back to society. This initiative plays a vital role in fostering educational opportunities for talented individuals, helping them break the cycle of poverty and contribute to national development. Overall, the JSPN Scholarship not only supports individual growth but also aims to uplift communities through education.</t>
  </si>
  <si>
    <t>1.Visit the official JSPN Scholarship website.
2.Review eligibility criteria and scholarship details.
3.Complete the online application form.
4.Upload required documents.
5.Submit the application before the deadline.
6.Monitor the application status for updates.</t>
  </si>
  <si>
    <t>1.Aadhar card or identity proof.
2.Academic transcripts and certificates.
3.Income certificate of the family.
4.Admission proof from the institution.
5.Bank details for scholarship disbursement.
6.Any other documents specified in the application guidelines.</t>
  </si>
  <si>
    <t>https://youtu.be/yHDe3Lt5KoM?si=ZSWAXURXz9x_hvOq</t>
  </si>
  <si>
    <t>srijspn@gmail.com</t>
  </si>
  <si>
    <t>info@jspnscholarship.org.</t>
  </si>
  <si>
    <t>The Kalakriti Fellowship is an initiative that aims to support emerging artists across various disciplines by providing them with both financial assistance and mentorship opportunities. The fellowship encourages innovation and creativity, enabling artists to develop their projects without the burden of financial constraints. Selected fellows receive a grant that allows them to focus entirely on their work, culminating in the presentation of their projects to a broader audience. In addition to funding, the program offers invaluable networking opportunities with established artists, industry professionals, and mentors who guide them throughout their creative journey. This fellowship is designed for individuals who demonstrate exceptional talent, a commitment to their craft, and a desire to contribute to the cultural landscape of their communities.</t>
  </si>
  <si>
    <t>The Kalakriti Fellowship is a transformative initiative dedicated to supporting emerging artists across diverse disciplines such as visual arts, performing arts, and literature. This fellowship recognizes the essential role that creativity plays in society and aims to cultivate innovative talents. It provides financial aid that allows artists to focus solely on their creative processes without the burden of financial constraints. In addition to financial support, the fellowship establishes mentorship relationships with established artists and industry professionals, fostering a rich environment for artistic growth. This unique aspect of the program encourages fellows to explore their artistic vision, experiment with new ideas, and push the boundaries of their creativity. The Kalakriti Fellowship culminates in the presentation of the fellows' work at a prominent exhibition, showcasing their artistic contributions to a broader audience. This not only helps the artists gain visibility but also promotes a deeper appreciation for the arts within the community. By investing in the next generation of artists, the fellowship aims to contribute significantly to the cultural landscape of India, inspiring future generations to explore the power of creativity.</t>
  </si>
  <si>
    <t>kalakritifellowship.org</t>
  </si>
  <si>
    <t>1. Visit the official Kalakriti Fellowship website.
2.Review the eligibility criteria and fellowship details.
3.Prepare your project proposal and required documents.
4.Complete the online application form.
5.Submit the application before the deadline.
6.Monitor the application status for updates.</t>
  </si>
  <si>
    <t>1.Curriculum Vitae (CV).
2.Detailed project proposal.
3.Portfolio of previous work (if applicable).
4.Letters of recommendation.
5.Any other documents specified in the application guidelines.</t>
  </si>
  <si>
    <t>https://youtu.be/AmWItFK4DG4?si=7W9ciRCAOmr7ugI7</t>
  </si>
  <si>
    <t>Check official website for the latest contact</t>
  </si>
  <si>
    <t>kalakriti.fellowship@kalakriti.org</t>
  </si>
  <si>
    <t>The Karunya Varsham Scholarship is dedicated to supporting students from economically disadvantaged backgrounds who aspire to pursue higher education in various fields. By providing financial assistance for tuition fees, books, and living expenses, this scholarship empowers deserving students to achieve their academic goals. The program emphasizes the importance of education as a transformative tool that can uplift individuals and entire communities. Recipients are chosen based on a combination of merit and need, with a particular focus on academic performance and personal achievements. Furthermore, the scholarship encourages its recipients to engage in community service and leadership development, fostering a sense of responsibility and giving back to society.</t>
  </si>
  <si>
    <t>The Karunya Varsham Scholarship is a vital initiative aimed at supporting students from economically disadvantaged backgrounds, ensuring that financial constraints do not hinder their pursuit of education. The scholarship provides comprehensive financial assistance, covering tuition fees, textbooks, and living expenses, allowing students to focus entirely on their studies and personal development. It recognizes the transformative power of education as a means to uplift individuals and communities. Recipients of the scholarship are selected based on a combination of academic merit and financial need, with a strong emphasis on those who have demonstrated resilience and determination in overcoming obstacles. The program encourages recipients to actively engage in community service and leadership activities, fostering a sense of responsibility and the spirit of giving back to society. By empowering deserving students to pursue their academic goals, the Karunya Varsham Scholarship not only transforms individual lives but also contributes to the overall development of society, creating a ripple effect of positive change.</t>
  </si>
  <si>
    <t>karunyavarsham.org</t>
  </si>
  <si>
    <t>1.Visit the official Kalakriti Fellowship website.
2.Review eligibility criteria and fellowship details.
3.Prepare a project proposal along with a portfolio of your work.
4.Fill out the online application form.
5.Submit the application before the deadline.</t>
  </si>
  <si>
    <t>1. Completed application form
2. Academic transcripts
3. Proof of income or financial need
4. Identity proof (Aadhar card, passport, etc.)</t>
  </si>
  <si>
    <t>https://youtu.be/mroKEKr67UI?si=EO7pDxH7MdFZUzC5</t>
  </si>
  <si>
    <t>Larsen &amp; Toubro Limited, Mumbai, Maharashtra, India</t>
  </si>
  <si>
    <t>karunya.varsham@karunya.edu</t>
  </si>
  <si>
    <t>The Keep India Smiling Foundation Scholarship Programme aims to provide financial support to students who have demonstrated academic excellence and a commitment to community service. This scholarship covers tuition fees, educational materials, and other essential expenses necessary for students to pursue their studies effectively. By inspiring students to not only pursue their academic dreams but also to give back to their communities, the program seeks to nurture future leaders. Candidates for this scholarship are evaluated on their academic records, extracurricular activities, and the social impact of their initiatives, reinforcing the foundation's belief in the importance of well-rounded individuals who can contribute positively to society.</t>
  </si>
  <si>
    <t>The Keep India Smiling Foundation Scholarship Programme is a distinctive initiative designed to support students who not only excel academically but also demonstrate a commitment to social responsibility through community service. This scholarship provides comprehensive financial assistance to cover tuition fees, educational materials, and living expenses, allowing students to focus on their studies without the weight of financial stress. The program recognizes that education is a powerful tool for social change, and it aims to cultivate a generation of leaders who are not only academically proficient but also socially conscious. Candidates are evaluated based on their academic records, extracurricular activities, and the impact of their initiatives on their communities. In addition to financial support, the scholarship offers mentorship opportunities, enabling students to connect with established professionals in their fields. This holistic approach nurtures well-rounded individuals who are equipped to address societal challenges, fostering a culture of social responsibility. By investing in the education and development of young leaders, the Keep India Smiling Foundation seeks to create a brighter future for all.</t>
  </si>
  <si>
    <t>keepindiasmilingfoundation.org</t>
  </si>
  <si>
    <t>1.Visit the official Keep India Smiling Foundation website.
2.Review the eligibility criteria for the scholarship.
3.Gather necessary documents, including academic records and income certificates.
4.Create an account on the scholarship portal, if required.
4.Fill out the online application form with accurate details.
5.Upload all required documents as specified in the guidelines.
6.Review your application for accuracy.
7.Submit the application before the deadline.
8.Track the application status via the portal.
9.Await notification of results.</t>
  </si>
  <si>
    <t>1. Completed application form
2. Academic records
3. Recommendation letter from a teacher or mentor
4. Financial documents to prove need</t>
  </si>
  <si>
    <t>https://youtu.be/Mud1AAj7fSk?si=PsR3JNG8gkP4sa8y</t>
  </si>
  <si>
    <t>L'Oréal India Pvt. Ltd., Mumbai, Maharashtra, India</t>
  </si>
  <si>
    <t>keep.india.smiling@keepindiansmiling.org</t>
  </si>
  <si>
    <t>The Khorana Program for Scholars is designed to enhance international collaboration in scientific research and education, offering funding for Indian students to undertake research internships at leading universities in the United States. This program focuses primarily on the fields of science, technology, engineering, and mathematics (STEM), providing participants with valuable research experience and exposure to global scientific communities. The Khorana Program not only supports students financially but also fosters academic excellence and cultural exchange, preparing them for future challenges in their careers. By encouraging students to engage in high-quality research, the program aims to develop a strong pool of scientific talent in India and strengthen ties between Indian and American academic institutions.</t>
  </si>
  <si>
    <t>The Khorana Program for Scholars is a prestigious initiative aimed at enhancing international collaboration in scientific research and education between India and the United States. This program offers financial support for Indian students to undertake research internships at top-tier universities in the United States, focusing primarily on fields related to science, technology, engineering, and mathematics (STEM). By providing students with valuable research experience and exposure to global scientific communities, the Khorana Program plays a vital role in developing a strong pool of scientific talent in India. Recipients of the scholarship benefit from mentorship opportunities and collaborative projects that enhance their academic experience. The program emphasizes the importance of innovation, research excellence, and cross-cultural exchange, preparing students to tackle contemporary challenges in the scientific landscape. In addition, the Khorana Program fosters long-term partnerships between Indian and American institutions, paving the way for future collaborative research initiatives. By investing in the next generation of scientific leaders, the program contributes significantly to advancements in research and development in both countries.</t>
  </si>
  <si>
    <t>khoranaprogram.org</t>
  </si>
  <si>
    <t>1.Visit the official Khorana Program for Scholars website.
2.Review the eligibility criteria and program details.
3.Gather necessary documents, including academic transcripts and recommendation letters.
4.Complete the online application form with accurate information.
5.Upload all required documents as specified in the guidelines.
6.Review your application for completeness and accuracy.
7.Submit the application before the deadline.
8.Await notification of selection results.</t>
  </si>
  <si>
    <t>1. Application form
2. Academic transcripts
3. Letters of recommendation
4. Personal statement or essay</t>
  </si>
  <si>
    <t>https://youtu.be/xJgK1MugbUY?si=dUWY8YTAJsbnUz-f</t>
  </si>
  <si>
    <t>khorana.program@idbibank.com</t>
  </si>
  <si>
    <t>Kishore Vaigyanik Protsahan Yojana (KVPY) is a national scholarship program initiated by the Government of India to encourage students to pursue studies in science and research. The program identifies and nurtures talented students who show a keen interest in scientific research and aims to inspire them to contribute to India's scientific advancements. KVPY offers financial support for students enrolled in undergraduate programs in basic sciences, covering tuition fees and other academic expenses. In addition to financial assistance, the program organizes summer camps, workshops, and lectures to enhance students' scientific knowledge and skills. By fostering a passion for science and providing resources, KVPY seeks to develop a robust scientific community in the country.</t>
  </si>
  <si>
    <t>The Kishore Vaigyanik Protsahan Yojana (KVPY) is a flagship national scholarship program initiated by the Government of India to inspire students to pursue careers in science and research. Aimed at identifying and nurturing talented students, KVPY offers financial support for those enrolled in undergraduate programs in basic sciences, helping to alleviate the financial burden associated with higher education. The program selects recipients based on their academic excellence and potential for contributing to the scientific community. KVPY provides various opportunities for recipients, including summer camps, workshops, and lectures led by leading scientists and researchers, facilitating hands-on experience in scientific inquiry. By fostering a sense of curiosity and encouraging students to engage in innovative research, KVPY seeks to develop future leaders who can contribute to India's scientific advancements and enhance the country’s global standing in the field of science and technology. Furthermore, the program aims to create a network of passionate scientists who can collaborate and address the complex scientific challenges faced by society today.</t>
  </si>
  <si>
    <t>kvpy.iisc.ac.in</t>
  </si>
  <si>
    <t>1.Visit the official KVPY website.
2.Review the eligibility criteria and scholarship details.
3.Register for the KVPY examination by creating an account.
4.Fill out the online application form with accurate details.
5.Upload required documents as specified in the guidelines.
6.Pay the application fee, if applicable.
7.Review your application for completeness and accuracy.
8.Submit the application before the deadline.
9.Prepare for the written examination.
10Await the results and follow up for the interview process.</t>
  </si>
  <si>
    <t>1. Application form
2. Mark sheets of previous examinations
3. Certificate of eligibility from the school/college
4. Recommendation letter from a teacher</t>
  </si>
  <si>
    <t>https://www.youtube.com/live/9K78PWHQxu4?si=sk1Jd8KZj0i_Knvc</t>
  </si>
  <si>
    <t>080-2292-1185 / 080-2292-1186</t>
  </si>
  <si>
    <t>Harvard University, Cambridge, Massachusetts, USA</t>
  </si>
  <si>
    <t>kvpy@iisc.ac.in</t>
  </si>
  <si>
    <t>L and T Build India Scholarship</t>
  </si>
  <si>
    <t>The L and T Build India Scholarship is awarded to students pursuing postgraduate studies in construction engineering and management, sponsored by Larsen &amp; Toubro. This scholarship aims to develop skilled professionals who can contribute to the construction industry's growth and innovation. Recipients of the scholarship receive financial assistance that covers tuition fees and provides a stipend for living expenses, allowing them to focus on their studies and professional development. The program emphasizes the importance of leadership, innovation, and sustainable development in construction practices, preparing recipients for successful careers in the field. Additionally, students gain exposure to real-world projects and industry practices, enhancing their academic experience and professional network.</t>
  </si>
  <si>
    <t>The L and T Build India Scholarship is a prestigious program aimed at supporting students pursuing postgraduate studies in construction engineering and management. Sponsored by Larsen &amp; Toubro, one of India’s leading construction and engineering firms, this scholarship seeks to cultivate skilled professionals who can drive innovation and growth within the construction industry. Recipients receive comprehensive financial assistance that covers tuition fees and provides a stipend for living expenses, allowing them to fully focus on their studies. The program emphasizes the significance of leadership, innovation, and sustainable development in construction practices, preparing students for successful careers in this dynamic field. Furthermore, scholarship recipients gain exposure to real-world projects, internships, and industry practices, enhancing their academic experience and professional network. By supporting education in construction management and engineering, the L and T Build India Scholarship contributes to the development of a highly skilled workforce capable of tackling the challenges facing the construction sector, including sustainability and infrastructural development.</t>
  </si>
  <si>
    <t>lntbuildindia.com</t>
  </si>
  <si>
    <t>1.Visit the official L&amp;T Build India Scholarship website.
2.Review the eligibility criteria and scholarship details.
3.Prepare necessary documents, including academic transcripts.
4.Complete the online application form.
5.Upload all required documents as specified in the guidelines.
6.Review your application for accuracy.
7.Submit the application before the deadline.
8.Prepare for the interview process, if shortlisted.
9.Await the announcement of scholarship recipients.</t>
  </si>
  <si>
    <t>1. Completed application form
2. Academic transcripts
3. Identity proof
4. Resume/CV</t>
  </si>
  <si>
    <t>https://youtu.be/9ntXxjd20Is?si=0CxORBZXdFmDvFVh</t>
  </si>
  <si>
    <t>1800 209 4544</t>
  </si>
  <si>
    <t>Lalit Kala Akademi, New Delhi, India</t>
  </si>
  <si>
    <t>info@buildindia.org</t>
  </si>
  <si>
    <t>The L’Oréal India For Young Women in Science Scholarship aims to inspire young women to pursue careers in science, technology, engineering, and mathematics (STEM). By providing financial support for undergraduate studies in scientific disciplines, this scholarship recognizes the vital role women play in scientific research and innovation. The program aims to bridge the gender gap in STEM fields by encouraging more young women to excel in their academic pursuits. Recipients are selected based on their academic excellence, potential for success in their chosen field, and commitment to scientific endeavors. In addition to financial assistance, the scholarship also offers mentorship and networking opportunities, fostering a supportive environment for young women in science.</t>
  </si>
  <si>
    <t>The L’Oréal India For Young Women in Science Scholarship is a transformative initiative aimed at empowering young women to pursue careers in science, technology, engineering, and mathematics (STEM). Recognizing the underrepresentation of women in these fields, this scholarship provides financial assistance for undergraduate studies in scientific disciplines, ensuring that talented young women have the resources needed to excel academically. The program emphasizes academic excellence, leadership potential, and a commitment to scientific endeavors, selecting recipients who demonstrate exceptional capabilities in their chosen fields. In addition to financial support, the scholarship offers mentorship opportunities, enabling young women to connect with established female scientists and professionals who can provide guidance and encouragement. By fostering a supportive environment, the L’Oréal India scholarship aims to inspire the next generation of female leaders in science, helping to bridge the gender gap in STEM disciplines. Furthermore, the program emphasizes the importance of role models in encouraging young women to pursue their passions and succeed in their careers.</t>
  </si>
  <si>
    <t>loreal.in</t>
  </si>
  <si>
    <t>1.Visit the official L’Oréal India scholarship website.
2.Review the eligibility criteria and scholarship details.
3.Gather necessary documents, including academic records.
4.Complete the online application form.
4.Upload required documents as specified in the application guidelines.
5.Write and submit the personal statement or essay.
6.Review your application for completeness and accuracy.
7.Submit the application before the deadline.
8.Await notification for interviews or selection results.</t>
  </si>
  <si>
    <t>1. Application form
2. Academic transcripts
3. A letter of recommendation
4. Statement of purpose</t>
  </si>
  <si>
    <t>https://youtu.be/k-vDuKe7yyQ?si=y-DVfp9IgzJtJ1Y9</t>
  </si>
  <si>
    <t>Lancaster University, Lancaster, UK</t>
  </si>
  <si>
    <t>info.india@loreal.com</t>
  </si>
  <si>
    <t>L&amp;T Hydrocarbon- Offshore Structural Engineering, IIT Scholarship</t>
  </si>
  <si>
    <t>The L&amp;T Hydrocarbon- Offshore Structural Engineering, IIT Scholarship supports students pursuing studies in offshore structural engineering at Indian Institutes of Technology (IIT). Sponsored by L&amp;T Hydrocarbon, this scholarship aims to cultivate expertise in the offshore engineering sector, which is crucial for India's energy infrastructure development. Recipients receive financial assistance that covers tuition fees and living expenses, allowing them to focus on their studies without financial strain. The program also emphasizes hands-on experience, providing students with opportunities to work on real-world projects and collaborate with industry professionals. By focusing on innovation and sustainability, the scholarship prepares students for successful careers in the dynamic field of offshore engineering.</t>
  </si>
  <si>
    <t>The L&amp;T Hydrocarbon- Offshore Structural Engineering, IIT Scholarship is specifically designed to support students pursuing studies in offshore structural engineering at prestigious Indian Institutes of Technology (IIT). Sponsored by L&amp;T Hydrocarbon, this scholarship seeks to cultivate expertise in the offshore engineering sector, which plays a crucial role in India's energy infrastructure development. Recipients of the scholarship benefit from comprehensive financial assistance that covers tuition fees and living expenses, allowing them to concentrate on their academic pursuits without financial stress. The program emphasizes hands-on experience, providing students with opportunities to work on real-world projects and collaborate with industry professionals, enhancing their technical skills and knowledge. By focusing on innovation and sustainability, this scholarship prepares students for successful careers in the dynamic field of offshore engineering, equipping them with the skills needed to tackle contemporary challenges in energy and infrastructure. Additionally, the program fosters a network of professionals and alumni who can provide support and mentorship, further enhancing the career prospects of scholarship recipients.</t>
  </si>
  <si>
    <t>lthydrocarbon.com</t>
  </si>
  <si>
    <t>1.Visit the official L&amp;T Hydrocarbon scholarship website.
2.Review the eligibility criteria and program details.
3.Prepare the necessary documents, including academic records.
4.Complete the online application form.
4.Upload all required documents as specified in the application guidelines.
5.Write and submit any required essays or personal statements.
6.Review your application for accuracy and completeness.
7.Submit the application before the deadline.
8.Await further communication regarding interviews or selections.</t>
  </si>
  <si>
    <t>1. Completed application form
2. Academic records
3. Letter of recommendation
4. Statement of purpose</t>
  </si>
  <si>
    <t>https://youtu.be/EWMWiAn8Yac?si=z1jDeS7aDOCsvXEt</t>
  </si>
  <si>
    <t>scholarships@lnt.com</t>
  </si>
  <si>
    <t>The Lakshmi Mittal South Asia Institute Internship Grant is designed to support students who wish to pursue internships at the South Asia Institute at Harvard University. This grant aims to promote research and cultural exchange between South Asia and the Western world, fostering a greater understanding of the region's complexities and contributions. Recipients of the grant receive financial assistance to cover living expenses during their internship, enabling them to immerse themselves in a world-class academic environment. The program encourages students to engage in meaningful research that addresses critical issues facing South Asia, providing them with the skills and knowledge necessary to make a positive impact in their communities and beyond.</t>
  </si>
  <si>
    <t>The Lancaster University Management School Undergraduate Scholarship is designed to support talented international students who wish to pursue undergraduate studies at Lancaster University in the UK. This scholarship provides significant financial assistance for tuition fees and living expenses, making higher education more accessible for outstanding students from diverse backgrounds. The program recognizes academic excellence and aims to promote diversity within the student body, enriching the academic experience for all. Recipients gain access to world-class education, resources, and opportunities that prepare them for successful careers in management and business. The scholarship encourages recipients to engage in extracurricular activities, leadership programs, and networking opportunities, fostering personal development and enhancing their employability. By investing in the education of bright minds, the Lancaster University Management School Scholarship seeks to cultivate future leaders who can drive positive change and innovation in the global economy, reinforcing the university's commitment to fostering global citizenship and social responsibility.</t>
  </si>
  <si>
    <t>southasiainstitute.org</t>
  </si>
  <si>
    <t>1.Visit the official Lakshmi Mittal South Asia Institute website.
2.Review the eligibility criteria and details of the internship grant.
3.Identify potential internship opportunities relevant to South Asia.
4.Prepare the required application materials, including your resume and statement of purpose.
5.Complete the online application form.
6.Upload all required documents as specified in the application guidelines.
7.Review your application for accuracy and completeness.
8.Submit the application before the deadline.
9.Await notification regarding the selection results.</t>
  </si>
  <si>
    <t>1. Application form
2. Academic transcripts
3. Letter of recommendation
4. CV or resume</t>
  </si>
  <si>
    <t>https://youtu.be/LzlQviIMERE?si=U2icZSvMP4cKNYE3</t>
  </si>
  <si>
    <t>internships@lakshmimittal.com</t>
  </si>
  <si>
    <t>The Lalit Kala Akademi Scholarship supports artists and cultural practitioners from various fields, promoting the visual arts and fostering creativity among emerging talents. This scholarship provides financial assistance for projects, exhibitions, and workshops, allowing artists to develop their skills and showcase their work. Recipients are selected based on their artistic vision, potential for impact, and commitment to the arts. The program encourages collaboration and networking among artists, promoting a vibrant cultural ecosystem in which creativity can flourish. By supporting artistic endeavors, the Lalit Kala Akademi aims to enrich India's cultural heritage and inspire future generations of artists.</t>
  </si>
  <si>
    <t>The Late Sri. A. Gopal Endowment Scholarship, established in Karnataka, is dedicated to supporting deserving students from the region who aspire to pursue higher education. This scholarship aims to uplift economically disadvantaged communities by providing comprehensive financial assistance for tuition fees and other academic expenses. Recipients are chosen based on a combination of merit and financial need, ensuring that talented individuals can pursue their academic goals without the burden of financial constraints. The program not only helps students achieve their educational aspirations but also honors the legacy of Sri. A. Gopal by empowering future generations through education. Furthermore, the scholarship encourages recipients to engage in community service and social initiatives, promoting a culture of giving back and fostering a sense of responsibility among young leaders. By investing in the education of deserving students, this endowment seeks to create lasting positive impacts on the community and contribute to the overall development of society.</t>
  </si>
  <si>
    <t>lalitkala.gov.in</t>
  </si>
  <si>
    <t>1.Visit the official Lalit Kala Akademi website.
2.Review the scholarship eligibility criteria and details.
3.Prepare the necessary documents, including your artistic portfolio.
4.Complete the online application form.
5.Upload all required documents as specified in the application guidelines.
6.Write and submit a statement of purpose outlining your artistic vision.
7.Review your application for accuracy and completeness.
8.Submit the application before the deadline.
9.Await notification regarding selection results or interviews.</t>
  </si>
  <si>
    <t>1. Completed application form
2. Portfolio of work
3. Academic records
4. Statement of purpose</t>
  </si>
  <si>
    <t>https://youtu.be/Wteew0Q7zRE?si=sJZ2x0xQOt7FMTje</t>
  </si>
  <si>
    <t>lalitkala@lalitkala.gov.in</t>
  </si>
  <si>
    <t>The Lancaster University Management School Undergraduate Scholarship is aimed at supporting international students who wish to pursue undergraduate studies at Lancaster University in the UK. This scholarship provides financial assistance for tuition fees and living expenses, making higher education more accessible for talented students from around the world. The program recognizes academic excellence and encourages diversity within the student body, enriching the academic experience for all. Recipients gain access to world-class education, resources, and opportunities that prepare them for successful careers in management and business. By investing in the education of bright minds, the scholarship aims to cultivate future leaders who can drive positive change in the global economy.</t>
  </si>
  <si>
    <t>The LLM India Scholarships are specifically designed to support international students pursuing a Master of Laws (LLM) degree at various prestigious universities in India. Recognizing the growing importance of legal education in a globalized world, these scholarships aim to attract talented students who demonstrate a strong commitment to advancing their legal knowledge and skills. Recipients benefit from substantial financial assistance that covers tuition fees and living expenses, ensuring that they can fully immerse themselves in their studies without financial worry. The program emphasizes academic excellence and leadership potential, selecting candidates who have the potential to make significant contributions to the legal field. In addition to financial support, the LLM India Scholarships provide opportunities for networking, mentorship, and internships, allowing students to gain practical experience in the legal profession. By investing in the education of aspiring legal professionals, these scholarships contribute to the development of a diverse and skilled legal workforce capable of addressing contemporary legal challenges and promoting justice and equity in society.</t>
  </si>
  <si>
    <t>lancaster.ac.uk</t>
  </si>
  <si>
    <t>1.Visit the official Lancaster University Management School scholarship page.
2.Review the eligibility criteria and scholarship details.
3.Prepare necessary documents, including academic transcripts and a personal statement.
4.Complete the online application form for admission to Lancaster University.
5.Indicate your interest in the scholarship on the application form.
6.Upload all required documents as specified in the application guidelines.
7.Review your application for accuracy and completeness.
8.Submit your application before the deadline.
9.Await notification regarding scholarship decisions.</t>
  </si>
  <si>
    <t>1. Application form
2. Academic transcripts
3. Personal statement
4. Reference letter</t>
  </si>
  <si>
    <t>https://youtu.be/jR7ysZE2uFM?si=sogKlBjDsdKqsfHw</t>
  </si>
  <si>
    <t>admissions@lancaster.ac.uk</t>
  </si>
  <si>
    <t>The Late Sri. A. Gopal Endowment Scholarship, established in Karnataka, is dedicated to supporting deserving students from the region who aspire to pursue higher education. This scholarship aims to uplift economically weaker sections of society by providing financial assistance for tuition fees and other academic expenses. Recipients are selected based on a combination of merit and financial need, ensuring that talented individuals have the opportunity to further their education. The program not only helps students achieve their academic goals but also honors the legacy of Sri. A. Gopal by empowering future generations through education and encouraging them to give back to their communities.</t>
  </si>
  <si>
    <t>The M-Power Scholarship Programme is a dedicated initiative that aims to support students from marginalized communities who aspire to pursue higher education in various fields. This program recognizes the systemic barriers that often prevent talented individuals from accessing quality education and provides comprehensive financial assistance to help them overcome these challenges. Recipients are selected based on academic merit, financial need, and their commitment to community service, ensuring that the scholarship supports those who are not only academically capable but also actively engaged in uplifting their communities. The M-Power Scholarship aims to empower students by alleviating the financial burden associated with education, enabling them to fully concentrate on their studies and personal development. Furthermore, the program fosters a supportive network of mentors, providing recipients with guidance and encouragement as they navigate their academic journeys. By investing in the education of deserving individuals, the M-Power Scholarship Programme seeks to promote social equity and create pathways for future leaders who can drive positive change in their communities.</t>
  </si>
  <si>
    <t>Check local educational institutions for details</t>
  </si>
  <si>
    <t>1.Research and identify the institutions offering the Late Sri. A. Gopal Endowment Scholarship.
2.Review the eligibility criteria and application guidelines.
3.Gather necessary documents, including academic records and income proof.
4.Complete the scholarship application form, which may be available online or through the institution.
5.Write a personal statement outlining your academic goals and financial need.
6.Submit all required documents along with the application form.
7.Review your application for accuracy and completeness.
8.Submit the application before the specified deadline.
9.Await notification regarding the selection process.</t>
  </si>
  <si>
    <t>1. Completed application form
2. Academic transcripts
3. Income certificate
4. Identity proof</t>
  </si>
  <si>
    <t>https://youtu.be/sepGs9F7lJ8?si=0HSGJ7nCgDrBpHYy</t>
  </si>
  <si>
    <t>91-80-2333 0153</t>
  </si>
  <si>
    <t>endowment@gov.karnataka.in</t>
  </si>
  <si>
    <t>LLM India Scholarships</t>
  </si>
  <si>
    <t>The LLM India Scholarships are specifically designed to support students pursuing a Master of Laws (LLM) degree in India. This program aims to promote legal education and research within the country, recognizing the importance of advanced legal studies in fostering a fair and just society. Scholarships are awarded based on academic excellence and a demonstrated commitment to legal studies, providing recipients with financial assistance for tuition and living expenses. The program encourages students to engage in research that addresses pressing legal issues in India and aims to develop a new generation of legal professionals who are well-equipped to navigate the complexities of the legal landscape.</t>
  </si>
  <si>
    <t>The Maharashtra Government Scholarship for Economically Backward Classes is a vital initiative aimed at supporting students from economically disadvantaged backgrounds in Maharashtra. This scholarship provides financial assistance to cover tuition fees, educational materials, and living expenses, ensuring that deserving students have the opportunity to pursue their academic goals without financial constraints. The program emphasizes inclusivity and recognizes the importance of education in breaking the cycle of poverty. Recipients are selected based on their academic performance, financial need, and commitment to their studies. In addition to financial support, the scholarship encourages recipients to actively engage in community service, fostering a sense of responsibility and social awareness. By empowering students from economically backward classes, the Maharashtra Government Scholarship aims to promote educational equity and contribute to the overall development of the state, creating a more inclusive society where everyone has the opportunity to succeed.</t>
  </si>
  <si>
    <t>llmindia.com</t>
  </si>
  <si>
    <t>1.Academic transcripts (previous degrees)
2.Personal statement outlining your motivation and goals
3.Letters of recommendation
4.Proof of English language proficiency (if applicable)
5.Any additional documents specified in the application guidelines</t>
  </si>
  <si>
    <t>1. Application form
2. Academic transcripts
3. Letter of recommendation
4. Personal statement</t>
  </si>
  <si>
    <t>https://youtu.be/nUj-S68K_T4?si=gaDQR4FDTOKBbX-f</t>
  </si>
  <si>
    <t>91 80474 94091</t>
  </si>
  <si>
    <t>Check with the official website or administering body for the specific address</t>
  </si>
  <si>
    <t>llm@llmindia.org</t>
  </si>
  <si>
    <t>Logo Design Contest Cyber Dost</t>
  </si>
  <si>
    <t>The Logo Design Contest Cyber Dost is an initiative that invites creative individuals to participate in designing an original logo for the Cyber Dost initiative. This contest aims to promote creativity and innovation in logo design while raising awareness about cyber safety and digital literacy. Participants are encouraged to submit unique designs that effectively represent the values and mission of Cyber Dost. Winners of the contest receive recognition and cash prizes, showcasing their talent and creativity to a wider audience. The contest fosters a sense of community among young designers, encouraging collaboration and exchange of ideas while contributing to a vital cause in today's digital age.</t>
  </si>
  <si>
    <t>The Mahatma Gandhi National Fellowship is a prestigious program aimed at supporting young professionals interested in pursuing careers in public policy and social entrepreneurship. This fellowship provides financial assistance for individuals seeking to engage in projects that promote social change and community development across India. Recipients are selected based on their commitment to social impact, leadership potential, and innovative project proposals that address pressing societal challenges. The fellowship emphasizes hands-on experience, allowing fellows to work closely with government bodies, NGOs, and local communities to implement their projects and gain practical insights into the complexities of public service. In addition to financial support, the program offers mentorship and training opportunities, equipping fellows with the skills and knowledge needed to drive meaningful change. By nurturing future leaders in public service, the Mahatma Gandhi National Fellowship aims to inspire a generation of professionals who are dedicated to creating positive social transformations in their communities.</t>
  </si>
  <si>
    <t>cyberdost.gov.in</t>
  </si>
  <si>
    <t>1.Visit the official Cyber Dost website.
2.Review the contest guidelines and eligibility criteria.
3.Prepare your logo design following the specified requirements.
4.Complete the online application form.
5.Upload your logo design and any additional required materials.
6.Ensure that your submission adheres to the contest rules.
7.Submit your application before the deadline.
8.Await notification regarding the results.</t>
  </si>
  <si>
    <t>1. Completed entry form
2. Portfolio of previous design work
3. Identification proof</t>
  </si>
  <si>
    <t>cyberdost@cyberdost.com</t>
  </si>
  <si>
    <t>The M-Scholarship is committed to supporting students pursuing higher education across various fields of study. This scholarship aims to empower individuals from marginalized communities by providing essential financial assistance that helps cover tuition fees, books, and living expenses. Recipients are selected based on a combination of academic performance and financial need, with the program focusing on inclusivity and educational equity. By supporting students in their academic journeys, the M-Scholarship seeks to create opportunities for personal and professional growth, enabling them to realize their potential and contribute positively to society.</t>
  </si>
  <si>
    <t>The M-Scholarship is designed to support students pursuing studies in various fields, with a particular focus on underrepresented groups. This scholarship aims to empower individuals by alleviating the financial burden of education, enabling them to fully concentrate on their studies and personal development. Recipients are selected based on academic performance, personal achievements, and their commitment to community engagement. The program emphasizes the importance of leadership and social responsibility, encouraging students to give back to their communities and make a positive impact. By investing in the education of talented individuals, the M-Scholarship aims to foster a diverse and inclusive learning environment that promotes equality and opportunity for all. The program also offers mentorship opportunities, connecting recipients with professionals who can guide them through their academic journeys and provide insights into their chosen fields. By fostering a culture of collaboration and support, the M-Scholarship not only empowers individual students but also contributes to the overall advancement of society, inspiring a new generation of leaders who are dedicated to making a difference.</t>
  </si>
  <si>
    <t>m-scholarship.org</t>
  </si>
  <si>
    <t>1.Visit the official M-Scholarship website.
2.Review the eligibility criteria and scholarship details.
3.Prepare your application materials, including academic transcripts and a personal statement.
4.Complete the online application form.
5.Upload all required documents as specified in the application guidelines.
6.Provide letters of recommendation if required.
7.Review your application for accuracy and completeness.
8.Submit the application before the specified deadline.
9.Await notification regarding scholarship decisions.</t>
  </si>
  <si>
    <t>1. Application form
2. Academic transcripts
3. Financial need documentation
4. Statement of purpose</t>
  </si>
  <si>
    <t>https://youtu.be/lXCVWAtSHtQ?si=e56hMJZpznSXHnWO</t>
  </si>
  <si>
    <t>m.scholarship@mscholarship.com</t>
  </si>
  <si>
    <t>The Madhobi Chatterji Memorial Fellowship is dedicated to supporting research in the fields of literature and arts, honoring the contributions of Madhobi Chatterji to the cultural landscape. This fellowship provides financial support for scholars conducting research projects that explore various aspects of literature, culture, and artistic expression. Recipients are encouraged to publish their findings and share their insights with the academic community. The fellowship aims to promote academic excellence and cultural enrichment by fostering a deeper understanding of the arts and literature, encouraging scholars to engage with critical issues and contribute to the discourse in their fields.</t>
  </si>
  <si>
    <t>The Madhobi Chatterji Memorial Fellowship is established to honor the legacy of Madhobi Chatterji, a revered figure in the field of education and social service. This fellowship provides financial assistance to students and researchers pursuing studies in social sciences, humanities, and related fields. Recipients are selected based on their academic merit, research proposals, and commitment to social change, ensuring that the fellowship supports those dedicated to making a positive impact in society. The program encourages innovative research and critical thinking, providing fellows with resources and mentorship to enhance their academic journeys. By promoting research that addresses societal challenges, the Madhobi Chatterji Memorial Fellowship aims to contribute to the development of knowledge and solutions that benefit marginalized communities and promote social equity. Additionally, the fellowship creates a network of scholars and professionals who can collaborate and share insights, further enhancing the impact of the research conducted by fellows. Through its commitment to fostering academic excellence and social responsibility, the Madhobi Chatterji Memorial Fellowship seeks to inspire future generations of leaders in social sciences.</t>
  </si>
  <si>
    <t>Check specific university websites for details</t>
  </si>
  <si>
    <t>1Visit the official Madhobi Chatterji Memorial Fellowship website.
2.Review the eligibility criteria and fellowship details.
3.Prepare your research proposal and supporting documents.
4.Complete the online application form.
5.Upload all required documents as specified in the application guidelines.
6.Review your application for completeness and accuracy.
7.Submit the application before the deadline.
8.Await notification regarding fellowship decisions.</t>
  </si>
  <si>
    <t>1. Completed application form
2. Research proposal
3. Academic transcripts
4. Letter of recommendation</t>
  </si>
  <si>
    <t>https://youtu.be/Ry8sggp0m1s?si=_U0aiyvgswxBmFWN</t>
  </si>
  <si>
    <t>91 11 2696 3226</t>
  </si>
  <si>
    <t>madhobi.chatterji@fellowship.com</t>
  </si>
  <si>
    <t>The Mani Mann Fellowship is designed to support students pursuing studies in social sciences, empowering scholars who are committed to making a difference in their communities and beyond. This fellowship provides financial assistance for tuition fees and research expenses, allowing recipients to focus on their academic pursuits and contribute to meaningful projects. The program emphasizes the importance of social responsibility and encourages students to engage in research that addresses pressing societal issues. By nurturing future leaders in social sciences, the Mani Mann Fellowship aims to foster innovative solutions that promote social change and improve the lives of marginalized communities.</t>
  </si>
  <si>
    <t>The Mani Mann Fellowship is aimed at supporting students and young professionals engaged in research and projects focused on social change. This fellowship provides financial support for individuals working on innovative and meaningful projects that address pressing societal issues. Recipients are encouraged to develop solutions that foster social justice and improve the lives of marginalized communities. The program emphasizes mentorship and collaboration, connecting fellows with experienced professionals who can guide their projects and enhance their impact. By nurturing future leaders in social sciences and social entrepreneurship, the Mani Mann Fellowship aims to inspire innovative solutions and drive meaningful change within communities. Furthermore, the fellowship provides opportunities for networking and professional development, equipping recipients with the skills needed to implement their projects effectively. By investing in the next generation of social change-makers, the Mani Mann Fellowship seeks to create a lasting impact on society and promote a culture of social responsibility and engagement.</t>
  </si>
  <si>
    <t>https://www.manimannfellowship.org/</t>
  </si>
  <si>
    <t>1.Visit the official Mani Mann Fellowship website.
2.Review the eligibility criteria and fellowship details.
3.Prepare your research proposal and supporting documents.
4.Complete the online application form.
5.Upload all required documents as specified in the application guidelines.
6.Review your application for completeness and accuracy.
7.Submit the application before the deadline.
8.Await notification regarding fellowship decisions.</t>
  </si>
  <si>
    <t>1. Application form
2. Research proposal
3. Academic records
4. Letter of recommendation</t>
  </si>
  <si>
    <t>https://youtu.be/6-0ajsUiEX4?si=Yz--XasbVNdS1Xhw</t>
  </si>
  <si>
    <t>mani.mann@fellowship.org</t>
  </si>
  <si>
    <t>The Manohar B. Bhalekar Memorial Scholarship is established in memory of a distinguished educationist who dedicated his life to promoting educational opportunities for underprivileged students. This scholarship provides financial assistance to students from economically weaker backgrounds, enabling them to pursue their academic goals without the burden of financial constraints. Recipients are selected based on their academic performance, personal achievements, and commitment to giving back to their communities. By empowering deserving students, the scholarship aims to honor the legacy of Manohar B. Bhalekar and promote educational equity in society.</t>
  </si>
  <si>
    <t>The Manohar B. Bhalekar Memorial Scholarship is established in memory of a distinguished educationist who dedicated his life to promoting educational opportunities for underprivileged students. This scholarship provides financial assistance to students from economically weaker backgrounds, enabling them to pursue their academic goals without the burden of financial constraints. Recipients are selected based on their academic performance, personal achievements, and commitment to giving back to their communities. The program aims to empower deserving students by honoring the legacy of Manohar B. Bhalekar, promoting educational equity in society. In addition to financial support, the scholarship encourages recipients to engage in community service and leadership activities, fostering a sense of responsibility and social awareness. By investing in the education of talented individuals, the Manohar B. Bhalekar Memorial Scholarship seeks to create lasting change in society and contribute to the development of a more equitable educational landscape.</t>
  </si>
  <si>
    <t>https://www.marubeni.com/</t>
  </si>
  <si>
    <t>1.Visit the official Marubeni India Meritorious Scholarship website.
2.Review the eligibility criteria and scholarship details.
3.Prepare your application materials, including academic records and a personal statement.
4.Complete the online application form.
5.Upload all required documents as specified in the application guidelines.
6..Provide letters of recommendation if required.
7.Review your application for accuracy and completeness.
8.Submit the application before the specified deadline.
9.Await notification regarding scholarship decisions.</t>
  </si>
  <si>
    <t>1. Application form
2. Academic transcripts
3. Income proof
4. Recommendation letter</t>
  </si>
  <si>
    <t>https://youtu.be/VTukkMJ3o6Q?si=qHcDOJCNzH1lORpk</t>
  </si>
  <si>
    <t>Marubeni Corporation,
19th Floor, DLF Centre,
Sansad Marg, New Delhi, Delhi 110001, India.</t>
  </si>
  <si>
    <t>marubeni.scholarship@marubeni.com</t>
  </si>
  <si>
    <t>Mechanical and Aerospace Engineering SRF, IIT Gandhinagar</t>
  </si>
  <si>
    <t>The Manthan Scholarship Programme aims to support students who are committed to making a positive impact in their communities through education and social initiatives. This scholarship provides financial assistance for higher education in various fields, focusing on individuals who demonstrate leadership qualities and a strong desire to contribute to society. Recipients are selected based on their academic performance, extracurricular activities, and community involvement. The program not only helps students achieve their educational aspirations but also encourages them to engage in social initiatives, fostering a sense of responsibility and empowerment among young leaders.</t>
  </si>
  <si>
    <t>The Manthan Scholarship Programme aims to support students who are committed to making a positive impact in their communities through education and social initiatives. This scholarship provides financial assistance for higher education in various fields, focusing on individuals who demonstrate leadership qualities and a strong desire to contribute to society. Recipients are selected based on their academic performance, extracurricular activities, and community involvement. The program not only helps students achieve their educational aspirations but also encourages them to engage in social initiatives, fostering a sense of responsibility and empowerment among young leaders. By investing in the education of aspiring change-makers, the Manthan Scholarship Programme seeks to promote a culture of social responsibility and inspire future generations to contribute positively to their communities. Furthermore, the scholarship provides opportunities for networking and mentorship, enabling recipients to connect with established professionals who can guide them in their academic and career journeys.</t>
  </si>
  <si>
    <t>https://www.iitgn.ac.in/</t>
  </si>
  <si>
    <t>1Visit the official IIT Gandhinagar website.
2.Navigate to the Mechanical and Aerospace Engineering SRF section.
3.Review the eligibility criteria and fellowship details.
4.Prepare your research proposal and supporting documents.
5.Complete the online application form.
6.Upload all required documents as specified in the application guidelines.
7.Review your application for completeness and accuracy.
8.Submit the application before the deadline.
9.Await notification regarding fellowship decisions.</t>
  </si>
  <si>
    <t>1. Completed application form
2. Academic transcripts
3. Research proposal
4. Letter of recommendation</t>
  </si>
  <si>
    <t>https://youtu.be/SLArsARlXi0?si=Z7kQBknvbHckLuPg</t>
  </si>
  <si>
    <t>079-2395-2800</t>
  </si>
  <si>
    <t>Indian Institute of Technology Gandhinagar,
Vishwakarma Government Engineering College Campus,
Chandkheda, Ahmedabad, Gujarat 382424, India.</t>
  </si>
  <si>
    <t>srfiit@iitgn.ac.in</t>
  </si>
  <si>
    <t>The Max Planck Institute for the Study of Religious and Ethnic Diversity Fellowship is designed to support scholars conducting research in the fields of religious and ethnic diversity. This fellowship offers financial support for research projects that explore the dynamics of religious and ethnic identities in contemporary societies. Recipients gain access to resources and networks that enhance their research capabilities and provide opportunities for collaboration with leading experts in the field. By promoting research on diversity, the fellowship aims to contribute to a deeper understanding of cultural interactions and the importance of fostering inclusive societies.</t>
  </si>
  <si>
    <t>The Max Planck Institute for the Study of Religious and Ethnic Diversity Fellowship is designed to support scholars conducting research in the fields of religious and ethnic diversity. This fellowship offers financial support for research projects that explore the dynamics of religious and ethnic identities in contemporary societies. Recipients gain access to resources and networks that enhance their research capabilities and provide opportunities for collaboration with leading experts in the field. By promoting research on diversity, the fellowship aims to contribute to a deeper understanding of cultural interactions and the importance of fostering inclusive societies. The program emphasizes interdisciplinary approaches, encouraging fellows to engage with various disciplines to enrich their research. By investing in scholarly research that addresses complex societal issues, the Max Planck Institute Fellowship seeks to promote dialogue and understanding among diverse communities, fostering a culture of respect and inclusivity.</t>
  </si>
  <si>
    <t>meghalayaborderareas.org</t>
  </si>
  <si>
    <t>1.Visit the Official Website: Go to the Meghalaya government scholarship portal.
2.Register: Create an account by providing necessary personal details.
3.Log In: Use your credentials to log into your account.
4.Fill Out the Application Form: Complete the application form with accurate information.
5.Upload Documents: Attach all required documents in the specified formats.
6.Submit Application: Review your application and submit it before the deadline.
7Track Status: Use the portal to check the status of your application.</t>
  </si>
  <si>
    <t>1. Application form
2. Academic records
3. Income certificate
4. Identity proof</t>
  </si>
  <si>
    <t>https://youtu.be/4htU_Q52nXk?si=yvf_3moUXIGKGeCp</t>
  </si>
  <si>
    <t>0364 - 2222502</t>
  </si>
  <si>
    <t>Sansad Marg, New Delhi, Delhi 110001, India.</t>
  </si>
  <si>
    <t>meghalaya.borderareas@meghalaya.gov.in</t>
  </si>
  <si>
    <t>Mercedes Benz In-Car Gaming Challenge</t>
  </si>
  <si>
    <t>The Mercedes Benz In-Car Gaming Challenge is an innovative competition designed to engage technology enthusiasts and gamers while showcasing the advanced features of Mercedes-Benz vehicles. This challenge encourages participants to explore the intersection of automotive technology and interactive entertainment, allowing them to experience gaming directly within the car environment. By promoting creativity and technical skills, the challenge aims to inspire the next generation of automotive and gaming innovators. Participants are invited to develop unique gaming experiences that leverage the capabilities of Mercedes-Benz vehicles, enhancing the overall driving experience through entertainment.</t>
  </si>
  <si>
    <t>The Mercedes Benz In-Car Gaming Challenge is an exciting initiative that combines the thrill of gaming with the luxury of driving a Mercedes-Benz. This competition invites developers, designers, and gaming enthusiasts to create in-car gaming applications that can be seamlessly integrated into Mercedes-Benz vehicles. Participants are tasked with designing games that not only provide entertainment but also ensure safety and enhance the driving experience. The challenge emphasizes user interaction and innovative gameplay mechanics while adhering to the high standards of technology and design synonymous with the Mercedes-Benz brand. Finalists get a chance to showcase their creations in front of industry experts and compete for attractive prizes, including internships or collaboration opportunities with Mercedes-Benz. This initiative represents a forward-thinking approach to integrating gaming into everyday life, pushing the boundaries of technology and entertainment.</t>
  </si>
  <si>
    <t>mercedes-benz.com</t>
  </si>
  <si>
    <t>1.Visit the Official Website: Go to the Mercedes Benz In-Car Gaming Challenge page.
2.Register: Sign up by providing your details and creating an account.
3.Review Rules: Familiarize yourself with the competition guidelines and requirements.
4.Select Games: Choose the games you wish to compete in, as per the guidelines.
5.Participate in Qualifiers: Join online qualifiers or local events as required.
6.Submit Gameplay Videos: Record and upload your gameplay sessions if required.
7.Wait for Results: Keep an eye on announcements regarding the finalists and winners.</t>
  </si>
  <si>
    <t>1. Completed registration form
2. Design portfolio (if applicable)
3. Identification proof</t>
  </si>
  <si>
    <t>mercedesbenz@mercedes-benz.com</t>
  </si>
  <si>
    <t>The Merck India Charitable Trust (MICT) Scholarship Program is designed to support academically bright but financially disadvantaged students in India. Launched by Merck, the program provides scholarships to help students from low-income backgrounds pursue higher education in fields such as science, commerce, arts, or other disciplines. The program aims to empower talented students by covering academic costs, thus enabling them to build better futures and contribute to society. It primarily focuses on students from underprivileged families in rural and urban areas.</t>
  </si>
  <si>
    <t>The Merck India Charitable Trust (MICT) Scholarship Program is a key corporate social responsibility initiative by Merck, a leading science and technology company. It offers financial assistance to students who demonstrate academic excellence but come from economically disadvantaged families. The scholarship supports students throughout their higher education journey, including the completion of undergraduate degrees in various disciplines like science, commerce, and the arts. MICT aims to reduce financial barriers to education by covering tuition fees, books, and other related expenses. In addition to financial aid, the program offers mentorship, soft skills training, and career guidance to help students develop holistically. The scholarship is awarded based on merit and financial need, with the goal of nurturing future professionals who can contribute to the country's socio-economic growth. Since its inception, MICT has successfully transformed the lives of numerous students by enabling them to achieve their academic and professional aspirations.</t>
  </si>
  <si>
    <t>program.com</t>
  </si>
  <si>
    <t>1.Visit the Official Website: Go to the MICT scholarship page.
2.Register: Create an account by filling out your personal details.
3.Log In: Use your credentials to access the scholarship application portal.
4.Complete Application Form: Fill out the application form with accurate information.
5.Upload Required Documents: Attach all necessary documents as specified.
6.Review and Submit: Double-check your application for completeness before submission.
7.Check Application Status: Regularly visit the portal to track your application status.</t>
  </si>
  <si>
    <t>1.Attested Class 10 marksheet.
2.Passport-sized photograph.
3.Income proof (last 3 months' salary slips or income certificate).
4.Proof of residence (ration card, electricity bill, etc.).
5.School fee receipt or student ID.
6.Bank details (passbook or canceled cheque)</t>
  </si>
  <si>
    <t>https://www.youtube.com/watch?v=PGidNcYFe3U&amp;ab_channel=PCGeoKimberlite</t>
  </si>
  <si>
    <t>A 14/15, Workly, Sector 59, Noida, Uttar Pradesh, India-201309</t>
  </si>
  <si>
    <t>merckscholarship@buddy4study.com</t>
  </si>
  <si>
    <t>The Merit Cum Means Scholarship for Professional and Technical Courses (CS) is a scheme under the Ministry of Minority Affairs, Government of India. It aims to support the education of students belonging to minority communities, enabling them to pursue professional and technical courses at undergraduate and postgraduate levels. The scholarship is meant for students who have secured admission in recognized institutions and courses and is based on both merit and financial need. It seeks to empower students from economically weaker sections of minority communities by providing financial assistance for their education.</t>
  </si>
  <si>
    <t>The Merit Cum Means Scholarship for Professional and Technical Courses (CS) is designed to provide financial aid to meritorious students from economically weaker sections of minority communities such as Muslims, Sikhs, Christians, Buddhists, Jains, and Zoroastrians (Parsis). The objective is to support students pursuing professional and technical courses at graduate or postgraduate levels, including fields like engineering, medicine, law, management, and information technology. The scholarship covers both tuition fees and maintenance allowance, helping students to meet the financial challenges associated with higher education. The selection is made on the basis of academic performance and the financial background of the student’s family. The family's annual income must not exceed INR 2.5 lakhs. Preference is given to students in the top merit list who are enrolled in reputed institutions across India. The scholarship is disbursed directly to the bank accounts of the beneficiaries, ensuring transparency. Students can apply online through the National Scholarship Portal (NSP), and the process involves verification from the respective institutions and state authorities.</t>
  </si>
  <si>
    <t>1.Visit the Official Website: Go to the National Scholarship Portal (NSP) at scholarships.gov.in.
2.Register: Create a new account by providing your details.
3.Log In: Use your credentials to log in to the portal.
4.Select Scholarship: Choose the "Merit Cum Means Scholarship for Professional and Technical Courses" from the list of available scholarships.
5.Fill Application Form: Complete the application form with required details.
6.Upload Documents: Upload necessary documents (e.g., income certificate, academic records).
7.Submit Application: Review your application and submit it before the deadline.
8.Track Status: Use the portal to track the status of your application after submission.</t>
  </si>
  <si>
    <t>1.Aadhaar card or another identity proof
2.Income certificate (less than INR 2.5 lakh per annum)
3.Last qualifying exam mark sheet (with at least 50% score)
4.Domicile certificate
5.Fee receipt from the current educational institution
6.Bank account details (preferably linked with Aadhaar)
7.Minority community certificate (if applicable)</t>
  </si>
  <si>
    <t>https://leverageedu.com/explore/indian-scholarships/nsp-merit-cum-means-scholarship/</t>
  </si>
  <si>
    <t>0120-6619540​</t>
  </si>
  <si>
    <t>Ministry of Minority Affairs,
11th Floor, Paryavaran Bhawan,
CGO Complex, Lodhi Road,
New Delhi-110003, India.</t>
  </si>
  <si>
    <t>helpdesk@nsp.gov.in</t>
  </si>
  <si>
    <t>The Merit Scholarship for SC/ST/OBC/Minority Students in Delhi is an initiative by the Government of Delhi to support and encourage students from socially and economically weaker sections. This scholarship is aimed at students belonging to Scheduled Castes (SC), Scheduled Tribes (ST), Other Backward Classes (OBC), and minority communities. By providing financial assistance, it helps students continue their education, reducing dropout rates, and enhancing their academic performance. The scheme is part of Delhi’s commitment to improving the quality of education and providing equal opportunities to underprivileged students.</t>
  </si>
  <si>
    <t>This scholarship provides monetary assistance based on academic merit and financial need, benefiting students from SC, ST, OBC, and Minority categories who are residents of Delhi. For school students (Class VI to XII), the scholarship amounts range from Rs. 3000 to Rs. 4500 per annum, depending on the marks achieved in the previous academic year. College and professional institution students pursuing degrees in fields like Medicine, Engineering, Agriculture, and more are eligible for amounts between Rs. 420 to Rs. 1860 per month, depending on the course and whether the student is a hosteller or day scholar. The program also covers postgraduate courses and technical diplomas. To qualify, students must score at least 55% in their exams and belong to the eligible categories. The family income cap applies for OBC and Minority students but not for SC/ST applicants. Required documents include identity proof, caste certificates, income proof, and academic records. Selection is based on academic performance and financial background.</t>
  </si>
  <si>
    <t>https://scstwelfare.delhi.gov.in/</t>
  </si>
  <si>
    <t>1.Visit the Official Website: Go to the Delhi government scholarship portal.
2.Register: Create a new account by providing the required details.
3.Log In: Use your credentials to log in to the portal.
4.Fill Application Form: Complete the scholarship application form with accurate information.
5.Upload Documents: Attach necessary documents such as income certificate, caste certificate, and academic records.
6.Review and Submit: Double-check your application and submit it before the deadline.
7.Track Application Status: Monitor your application status on the portal.</t>
  </si>
  <si>
    <t>1.Residence proof of Delhi
2.Aadhaar Card
3.Caste certificate
4.Income certificate (for OBC/Minority)
5.Bank account details (Aadhaar linked)
6.Previous class mark sheet
7.Fee structure and receipt (if applicable)
8.Verification letter (if applying from outside Delhi)</t>
  </si>
  <si>
    <t>https://www.youtube.com/watch?v=4htU_Q52nXk&amp;ab_channel=StudyAnybody</t>
  </si>
  <si>
    <t xml:space="preserve">
011-23379511</t>
  </si>
  <si>
    <t>Department of Social Welfare, Delhi</t>
  </si>
  <si>
    <t>info@scstwelfare.delhi.gov.in</t>
  </si>
  <si>
    <t>The Merit-cum-Means Minority Scholarship Scheme, Haryana, is designed to provide financial assistance to deserving students from minority communities (Muslims, Sikhs, Christians, Buddhists, Zoroastrians, and Jains) pursuing professional and technical courses. It aims to reduce the financial burden of higher education on economically weaker sections, promoting academic excellence and increasing the enrollment of minority students in technical and professional fields. This initiative is in line with the state's efforts to uplift minority communities through education, enabling them to secure better career prospects.</t>
  </si>
  <si>
    <t>The Merit-cum-Means Minority Scholarship Scheme for Haryana is a state initiative aimed at supporting the educational aspirations of students from economically weaker sections within the minority communities. This scheme offers financial assistance to students who are pursuing undergraduate or postgraduate degrees in technical and professional fields at recognized institutions. To qualify, students must demonstrate both academic merit, with at least 50% marks in their previous examinations, and financial need, as their family income should not exceed ₹2.5 lakh per annum. The scholarship is available for a maximum of 257 students per year. Hostellers receive ₹1,000 per month as a maintenance allowance for 10 months, while day scholars are granted ₹500 per month for the same period. The selection process is competitive, focusing on both merit and need, ensuring that the scholarship reaches those who need it the most to continue their higher education.</t>
  </si>
  <si>
    <t>https://harchhatravratti.highereduhry.ac.in/</t>
  </si>
  <si>
    <t>1.Eligibility Check: Confirm that you belong to a minority community and meet the eligibility criteria.
2.Visit Official Portal: Go to the Haryana Government’s scholarship portal or the Ministry of Minority Affairs website.
3.Create Account: Register on the portal by providing necessary personal details.
4.Fill Application Form: Complete the application form with accurate information and details about your educational background.
5.Upload Documents: Upload the required documents, including income certificate, caste certificate, and academic records.
6.Submit Application: Review your application and submit it before the deadline.
7.Track Application: Keep track of your application status through the portal.</t>
  </si>
  <si>
    <t>1.Aadhaar card
2.Domicile certificate (Haryana)
3.Family income certificate (not exceeding ₹2.5 lakh)
4.Marksheets from the previous examination (minimum 50% required)
5.Bank account details (with passbook copy)
6.Passport-sized photographs</t>
  </si>
  <si>
    <t>https://www.youtube.com/watch?v=YfrLiRma1b4&amp;ab_channel=Apple</t>
  </si>
  <si>
    <t>0120-6619540.</t>
  </si>
  <si>
    <t>Bays 7-12, Sector-4, Panchkula - 134112</t>
  </si>
  <si>
    <t>dhe@hry.nic.in</t>
  </si>
  <si>
    <t>Microsoft Imagine Cup Competition</t>
  </si>
  <si>
    <t>The Microsoft Imagine Cup is an annual global technology competition that encourages students to build innovative solutions using Microsoft technologies. It is open to students from all over the world, giving them a platform to showcase their creativity, technical skills, and passion for using technology to solve real-world problems. The competition is divided into several categories like Artificial Intelligence, Earth, Education, and Healthcare. Finalists compete for substantial cash prizes, mentorship opportunities, and a chance to meet top industry professionals, including Microsoft’s leadership team.</t>
  </si>
  <si>
    <t>The Imagine Cup is designed for students who are passionate about leveraging technology to solve critical global issues. Participants can utilize cutting-edge tools, including Microsoft Azure and AI services, to build prototypes and refine their projects. The competition encourages collaboration, innovation, and entrepreneurship, offering access to technical resources and mentorship throughout. Each year, student teams present their projects in front of an expert panel. Top-performing teams receive financial awards, and the ultimate prize includes a $100,000 cash reward and a mentoring session with Microsoft CEO Satya Nadella. The competition plays a crucial role in nurturing future tech leaders, providing them with the skills and exposure necessary to turn their ideas into scalable businesses. Moreover, finalists gain networking opportunities, training sessions, and the platform to showcase their solutions on the global stage.</t>
  </si>
  <si>
    <t>https://imaginecup.microsoft.com/en-us</t>
  </si>
  <si>
    <t>1.Eligibility Check: Ensure you meet the eligibility criteria (age, team size, etc.).
2.Create a Microsoft Account: Sign up or log in to a Microsoft account.
3.Visit the Official Website: Go to the Microsoft Imagine Cup website.
4.Register Your Team: Form a team (1-3 members) and register online.
5.Choose a Category: Select the competition category you wish to enter (e.g., Innovation, Games).
6.Submit Your Project: Prepare your project and submit it through the competition portal.
7.Prepare for Judging: Ensure you meet all submission requirements and deadlines.
8.Participate in the Competition: Engage in any scheduled events, mentoring, and final presentations as required.</t>
  </si>
  <si>
    <t>1.Proof of student status (student ID or enrollment certificate)
2.Team member details and identification
3.Project plan and detailed description
4.Prototype or demo video of the project
5.Presentation slides
6.Any additional supporting documentation required by Microsoft</t>
  </si>
  <si>
    <t>https://www.youtube.com/user/imaginecup</t>
  </si>
  <si>
    <t>1-800-642-7676</t>
  </si>
  <si>
    <t>visit the official website's contact page:
Microsoft Imagine Cup Contact</t>
  </si>
  <si>
    <t>imagine@microsoft.com</t>
  </si>
  <si>
    <t>Microsoft Office World Championship</t>
  </si>
  <si>
    <t>The Microsoft Imagine Cup is a global technology competition aimed at empowering students to use their creativity and passion for technology to solve real-world problems. Founded in 2003, it encourages young innovators, developers, and entrepreneurs to come up with groundbreaking solutions across different categories, including Earth, Education, Healthcare, and Lifestyle. Students from around the world can participate and compete for cash prizes, mentoring opportunities, and the chance to bring their ideas to life. The competition fosters collaboration, innovation, and the use of Microsoft’s cutting-edge tools and technology.</t>
  </si>
  <si>
    <t>The Microsoft Office Specialist (MOS) World Championship is one of the most prestigious competitions for students aged 13-22 who wish to showcase their advanced skills in Microsoft Office applications. To enter, students must first pass a Microsoft Office Specialist certification exam in Word, Excel, or PowerPoint. Those who achieve top scores in their respective countries are invited to the global finals, where they compete against peers from over 150 nations. The competition emphasizes both speed and accuracy in completing tasks using Microsoft Office applications. Finalists are challenged to complete real-world projects, such as creating professional-grade documents or presentations. Winners receive generous cash prizes: $8,000 for first place, $4,000 for second, and $2,000 for third. The competition provides an unparalleled platform for students to build their digital skills, preparing them for future careers while gaining international exposure and recognition.</t>
  </si>
  <si>
    <t>https://moschampionship.certiport.com/competition-details/</t>
  </si>
  <si>
    <t>1.Eligibility Check: Ensure you meet the age and skill requirements.
2.Registration: Visit the official Microsoft Office World Championship website to register.
3.Practice: Use available resources to prepare for the competition.
4.Local Competition: Participate in your regional or local qualifying event.
5.Qualification: Secure a spot by scoring high in the local competition.
6.Final Event: Compete at the World Championship event if you qualify.</t>
  </si>
  <si>
    <t xml:space="preserve">
1.Proof of student status (enrollment in an academic institution)
2.Proof of age (students must be between 13 and 22 years old)
3.Certification exam score from a Microsoft Office Specialist exam
4.Identification documents for travel (if selected for finals)</t>
  </si>
  <si>
    <t>https://www.youtube.com/certiport</t>
  </si>
  <si>
    <t>+44 782 431 3448</t>
  </si>
  <si>
    <t>Microsoft Office World Championship
Microsoft Corporation
One Microsoft Way
Redmond, WA 98052-6399
USA</t>
  </si>
  <si>
    <t>MOSChampionship@pearson.com</t>
  </si>
  <si>
    <t>Ms. Agatha Harrison Memorial Fellowship, UK</t>
  </si>
  <si>
    <t>The Ms. Agatha Harrison Memorial Fellowship is a prestigious academic fellowship established in memory of Agatha Harrison, a noted British academic and pacifist. This fellowship is designed to support an Indian scholar in pursuing advanced research at St. Antony's College, Oxford, in the fields of History, Political Science, or Economics. It is awarded annually by the Government of India through the Ministry of Education and covers expenses such as living costs and tuition fees. The fellowship is aimed at fostering academic exchange and enhancing relations between India and the UK</t>
  </si>
  <si>
    <t>The Ms. Agatha Harrison Memorial Fellowship is a one-year fully-funded research fellowship that offers advanced scholars the opportunity to study at the University of Oxford's St. Antony’s College, focusing on Modern Indian Studies in History, Economics, or Political Science. The fellowship is awarded annually to a candidate who demonstrates exceptional academic achievement with at least 60% in postgraduate studies and a Ph.D. The fellowship provides a stipend of around £27,603 annually (with allowances for meals, travel, and administration fees). Selected candidates are also provided with economy class airfare for both the fellow and their spouse (if staying in the UK for the entire year). Candidates must have at least three years of teaching experience at the undergraduate or postgraduate level. The fellowship is tenable for one year but can be extended by another year depending on the candidate’s performance. The selection process includes an interview after applications are scrutinized</t>
  </si>
  <si>
    <t>https://www.education.gov.in/</t>
  </si>
  <si>
    <t>1.Check Eligibility: Confirm your qualifications in relevant fields (Modern Indian Studies, History, Economics, or Political Science).
2.Monitor Announcements: Look for the fellowship announcement on the Ministry of Education's website.
3.Prepare Application: Gather required documents, including your research proposal, CV, academic transcripts, and letters of recommendation.
4.Submit Application: Follow the application guidelines provided in the announcement to submit your application.
5.Selection Process: Wait for the Ministry to shortlist candidates based on merit and proposals.
6.Interview: Attend an interview if shortlisted.
7.Final Nomination: Receive nomination and confirmation from the government and St. Antony’s College, Oxford.</t>
  </si>
  <si>
    <t>1.Self-attested copies of degree certificates (including proof of date of birth).
2.For foreign degrees, proof of equivalence certified by the competent authority.
3.A letter or certificate of employment.
4.A 500-word research proposal detailing the justification for research in the UK.
5.Passport-size photograph and signature in specific dimensions</t>
  </si>
  <si>
    <t>https://www.youtube.com/watch?v=sHN2AIiQ7Qo&amp;ab_channel=McMasterUniversity</t>
  </si>
  <si>
    <t>91-11-26172917</t>
  </si>
  <si>
    <t>dress: 62 Woodstock Road, Oxford OX2 6JF, United Kingdom</t>
  </si>
  <si>
    <t>admissions@sant.ox.ac.uk</t>
  </si>
  <si>
    <t>The Mukhyamantri Medhavi Vidyarthi Yojana (MMVY) is a scholarship scheme launched by the Government of Madhya Pradesh to support meritorious students from economically weaker sections in pursuing higher education. The scheme is designed to cover tuition fees for eligible students who have excelled in their academics, particularly in the 12th standard. It aims to provide financial assistance to students enrolling in professional courses such as engineering, medical, law, and management in recognized institutions. The initiative encourages students to aim for excellence without financial constraints hindering their educational aspirations.</t>
  </si>
  <si>
    <t>The Mukhyamantri Medhavi Vidyarthi Yojana (MMVY) was launched with the objective of enabling bright students from economically weaker families to access higher education. Under this scheme, students who score 70% or more in the Class 12 examination conducted by the Madhya Pradesh Board, or 85% or above in CBSE/ICSE boards, are eligible to receive financial assistance. Their family’s annual income should be less than INR 6 lakh. The scheme covers up to INR 1.5 lakh for private engineering courses and the full fee for government medical colleges. It also extends to other fields like law, management, and higher education in government institutions. This scheme promotes equity in education by removing financial barriers and ensuring that meritorious students can pursue their academic goals in prestigious institutions without the burden of high tuition costs. The government has simplified the application process through an online portal, where students can easily apply and track the status of their application.</t>
  </si>
  <si>
    <t>https://medhavikalyan.mp.gov.in/</t>
  </si>
  <si>
    <t>1.Visit the MMVY Portal: Go to medhavikalyan.mp.gov.in.
2.Registration: New students must register by providing basic details and generating a login ID.
3.Fill the Application: Log in and complete the application form, providing academic, personal, and income details.
4.Document Upload: Upload required documents, including income proof and mark sheets.
5.Submit: After filling in all the details and uploading documents, submit the application.
6.Verification: The submitted application will undergo verification by the respective institute.
7.Scholarship Disbursement: Upon approval, the scholarship amount will be transferred to the student’s bank account.</t>
  </si>
  <si>
    <t>1.Class 12 marksheet
2.Aadhaar card
3.Domicile certificate (proof of Madhya Pradesh residency)
4.Income certificate (less than INR 6 lakh annual family income)
5.Admission proof in a higher education institution
6.Bank account details</t>
  </si>
  <si>
    <t>https://www.youtube.com/watch?v=Y5wLREWzdH4</t>
  </si>
  <si>
    <t>0755-6720200</t>
  </si>
  <si>
    <t xml:space="preserve">Directorate of Technical Education,
4th Floor, Bhopal Gas Tragedy Memorial Medical College Campus,
Near T.T. Nagar Stadium,
Bhopal - 462003, Madhya Pradesh, India.
</t>
  </si>
  <si>
    <t>mpmedhavihelp@gmail.com</t>
  </si>
  <si>
    <t>The Music Fine Arts Scholarship (MFAS) is a government initiative in Kerala aimed at supporting students pursuing education in music and fine arts at government institutions. It provides financial assistance to help cover educational expenses, thereby promoting the arts and supporting talented individuals in these fields. This scholarship is especially beneficial for students enrolled in Government Music Colleges and Government Fine Arts Colleges across Kerala.</t>
  </si>
  <si>
    <t>The MFAS is administered by the Directorate of Collegiate Education in Kerala, targeting students who are permanent residents of the state. Eligible candidates include those studying in specific programs such as Bachelor of Performing Arts (BPA), Master of Performing Arts (MPA), and various fine arts disciplines including Bharatnatyam, Mohiniyattam, and Kathakali. The scholarship facilitates access to higher education in these specialized fields by offering financial aid up to INR 1,500 per annum, which helps alleviate the financial burden on students. Applicants are required to maintain their enrollment in government institutions and cannot be availing of any other scholarship simultaneously. The application process is conducted online, where candidates must submit necessary documents along with their application forms. After submission, the forms are verified by the institution's head, ensuring a structured and efficient selection process.</t>
  </si>
  <si>
    <t>www.dcescholarship.kerala.gov.in/</t>
  </si>
  <si>
    <t>1.Visit the DCE Scholarship Portal.
2.Click on the "Online Registration Scholarship" option.
3.Select the Music Fine Arts Scholarship from the list.
4.Fill out the application form with the required details.
5.Upload the necessary documents.
6.Submit the application and take a printout for future reference​</t>
  </si>
  <si>
    <t>1.Printout of the registration form.
2.Recent passport-size photograph.
3.Copy of the certificate for passing the annual examination.
4.Attested copy of the bank passbook (showing the candidate's name, account number, and branch details)​</t>
  </si>
  <si>
    <t>https://www.youtube.com/watch?v=gNR_eIUdxCI&amp;ab_channel=McMasterUniversity</t>
  </si>
  <si>
    <t>91-484-2426460</t>
  </si>
  <si>
    <t>Director of Collegiate Education,
Government of Kerala,
Puthencruz, Kochi - 682 308,
Kerala, India.</t>
  </si>
  <si>
    <t>dce.kerala@gmail.com</t>
  </si>
  <si>
    <t>The Muslim Nadar Girls Scholarship is a financial aid initiative offered by the Government of Kerala, aimed at supporting first-year female students from the Muslim Nadar community. This scholarship focuses on helping girls from Below Poverty Line (BPL) families pursue their education in government or aided arts and science colleges. The scholarship serves as a vital resource, promoting educational opportunities for deserving candidates and contributing to their empowerment.</t>
  </si>
  <si>
    <t>The Muslim Nadar Girls Scholarship provides essential financial assistance to first-year female students from the Muslim Nadar community in Kerala. Targeting girls from families with an annual income below ₹18,000, this scholarship aims to eliminate financial barriers to education. The scholarship offers an annual amount of ₹125, which may seem modest, but it plays a significant role in encouraging and facilitating educational pursuits among economically disadvantaged students. Eligible applicants must be enrolled in government or aided arts and science colleges and should have completed their HSC or VHSC. The initiative not only promotes academic achievement but also fosters empowerment within the community by enabling women to pursue higher education. The scholarship reflects the government's commitment to uplifting backward communities, ensuring inclusivity in education and social development. The application process is streamlined through the official Directorate of Collegiate Education website, emphasizing the importance of timely submissions and adherence to eligibility criteria.</t>
  </si>
  <si>
    <t>www.dcescholarship.kerala.gov.in</t>
  </si>
  <si>
    <t>1.Visit the Official Website: Go to the DCE Kerala scholarship portal.
2.Registration: Click on the "Candidate Login" option and select "New Registration" to create an account.
3.Fill in Personal and Academic Details: Provide necessary details such as your name, date of birth, and information about your previous education.
4.Upload Required Documents: Attach necessary documents, including income and caste certificates.
5.Submit the Application: Review your application for accuracy and click the "Submit" button.</t>
  </si>
  <si>
    <t>1.Applicant’s passport-size photograph
2.Scanned copy of the applicant’s signature
3.Educational certificates (HSC/VHSC/Undergraduate)
4.Family Income certificate
5.Caste certificate
6.Mobile number</t>
  </si>
  <si>
    <t>https://www.youtube.com/results?search_query=Muslim+Nadar+Girls+Scholarship%2C+Kerala</t>
  </si>
  <si>
    <t>0471-2306580</t>
  </si>
  <si>
    <t>Muslim Nadar Girls' Scholarship Office
Muslim Nadar Girls College, P.O. Parassala, Thiruvananthapuram, Kerala, India</t>
  </si>
  <si>
    <t>dcescholarship@gmail.com</t>
  </si>
  <si>
    <t>The Nagaland State Merit Scholarship aims to support students from Nagaland in their pursuit of higher education. This scholarship is designed for those who have excelled academically, requiring candidates to secure a minimum percentage in their previous examinations. By providing financial assistance, the scholarship helps alleviate the economic burdens associated with post-matric education, ensuring that deserving students can focus on their studies and personal development.</t>
  </si>
  <si>
    <t>Launched by the Directorate of Higher Education, Government of Nagaland, the Nagaland State Merit Scholarship seeks to enhance educational opportunities for meritorious students. It targets those who have achieved high scores in their previous academic assessments, specifically requiring 80% in Class 10 for higher secondary applicants and 70% in undergraduate courses. The scholarship not only encourages academic excellence but also fosters a sense of social equity among students from various backgrounds, including those belonging to Scheduled Tribes (ST). The financial assistance provided can cover tuition fees, study materials, and other academic expenses, delivered through direct benefit transfers to ensure transparency. Renewal of the scholarship is possible, provided students maintain their academic performance, reinforcing the scholarship's commitment to continuous support. The scheme ultimately aims to boost the literacy rate in Nagaland and promote awareness about available educational support.</t>
  </si>
  <si>
    <t>https://scholarship.nagaland.gov.in/</t>
  </si>
  <si>
    <t>1.Visit the official scholarship portal.
2.Click on the "Register" option and fill out the registration form.
3.Once registered, log in to access the scholarship application form.
4.Fill out the application with required details and upload the necessary documents.
5.Submit the application and print a copy to send to the scholarship section.</t>
  </si>
  <si>
    <t>1.Matriculation Certificate (10th)
2.Family Income Certificate
3.Aadhar Card
4.Latest passport-sized photograph
5.Admission receipt from the institution
6.Caste certificate (if applicable)
7.PwD Certificate (if applicable)
8.Front page of Bank Passbook</t>
  </si>
  <si>
    <t>https://www.youtube.com/watch?v=wn255gT7DPo&amp;ab_channel=ShisakzzTombo</t>
  </si>
  <si>
    <t>New Secretariat Complex, Kohima, Nagaland - 797001</t>
  </si>
  <si>
    <t>highereducation.nagaland@gmail.com.</t>
  </si>
  <si>
    <t>Narotam Sekhsaria Engineering Scholarship Programme</t>
  </si>
  <si>
    <t>The Narotam Sekhsaria Engineering Scholarship Programme is designed to support final-year engineering students in select colleges in Mumbai. Established in 2007, this initiative aims to recognize and promote academic excellence among students pursuing engineering degrees. The program offers both Excellence Awards and Merit-Cum-Means scholarships, providing significant financial assistance to deserving candidates. The scholarships are intended to help alleviate the financial burdens of higher education, empowering students to focus on their academic and career goals.</t>
  </si>
  <si>
    <t xml:space="preserve">The Narotam Sekhsaria Engineering Scholarship Programme provides substantial financial support to final-year engineering students enrolled in specific colleges in Mumbai. The program awards one Excellence Scholarship of ₹1,00,000 and two Certificates of Merit, each worth ₹50,000, to students demonstrating outstanding academic performance. In addition, the Merit-Cum-Means scholarships are available for a broader group of students, with 100 scholarships extended over the four years of their engineering courses. To qualify, applicants must maintain a minimum academic standard, with first-year students needing at least 85% in their Higher Secondary Certificate and those in subsequent years required to have over 70% in previous years. The family income cap for eligibility is ₹50,000 per month. This scholarship not only eases financial strain but also recognizes and encourages excellence in engineering education, with numerous awards distributed since its inception.
</t>
  </si>
  <si>
    <t>https://nsfoundation.co.in/education/scholarships/narotam-sekhsaria-undergraduate-scholarship-programme/</t>
  </si>
  <si>
    <t>1.Check Eligibility: Ensure you meet the criteria for the scholarship.
2.Gather Documents: Prepare the necessary documents listed below.
3.Online Application: Complete the application form available on the official website.
4.Submit Application: Submit your application along with the required documents before the deadline.</t>
  </si>
  <si>
    <t>1.Recent passport-sized photograph.
2.College identity card.
3.Marksheets for SSC, HSC/Diploma, and all semesters.
4.Certificate of Extra-Curricular Activities (optional).
5.Income Tax Return of family members for the last 2-3 years.
6.Certificates of participation in seminars/workshops/conferences.
7.Award letters of previous scholarships/awards (optional).
8.Final year course fee receipt.
9.Documentation for any tuition fee waivers (if applicable)</t>
  </si>
  <si>
    <t>https://www.youtube.com/channel/UCyt8DLAN0L38aGz4zTD4Z6Q</t>
  </si>
  <si>
    <t>91-33-2210 3357</t>
  </si>
  <si>
    <t>Narotam Sekhsaria Foundation,
302, 3rd Floor, 60, B, B. R. B. Basu Road,
Kolkata - 700001, West Bengal, India.</t>
  </si>
  <si>
    <t>enggscholarships@nsfoundation.co.in.</t>
  </si>
  <si>
    <t>The National Child Award for Exceptional Achievement, also known as the Pradhan Mantri Rashtriya Bal Puraskar, is a prestigious award presented annually to children in India aged 5 to 18 who have demonstrated exceptional abilities and achievements. This initiative recognizes young talents across various fields, including innovation, academics, arts, culture, sports, and social service. The awards aim to inspire and encourage children to pursue their passions while also acknowledging their contributions to society. Each awardee receives a medal, a cash prize, book vouchers, and a citation.</t>
  </si>
  <si>
    <t>The National Child Award for Exceptional Achievement aims to honor children who have excelled in various domains, showcasing their remarkable talents and contributions to society. The award is divided into two categories: the Bal Shakti Puraskar, which recognizes individual children for their achievements in fields like innovation, sports, arts, and bravery, and the Bal Kalyan Puraskar, which honors individuals and institutions contributing to child welfare. Eligible candidates for the Bal Shakti Puraskar include children aged 5 to 18 who have demonstrated sustained excellence over time. Nominations can be submitted online through a dedicated portal, ensuring a transparent selection process. Award recipients receive a medal, a cash prize of ₹1,00,000, book vouchers worth ₹10,000, and a certificate, encouraging further achievement and social engagement. The initiative not only aims to recognize the accomplishments of young individuals but also serves as a platform to inspire other children to aspire to excellence and contribute positively to their communities.</t>
  </si>
  <si>
    <t>https://awards.gov.in/</t>
  </si>
  <si>
    <t>1.Visit the official website.
2.Register and create an account on the nominations portal.
3.Fill out the application form with the required details.
4.Submit the application online by the deadline (typically by August 31 of each year).
5.Applications are then verified by relevant authorities before being shortlisted for consideration.</t>
  </si>
  <si>
    <t>1.A completed application form.
2.Proof of age (like a birth certificate).
3.Supporting documents showcasing achievements (certificates, photographs, etc.).
4.Any additional documents as required by the application form.</t>
  </si>
  <si>
    <t>Ministry's YouTube Channel</t>
  </si>
  <si>
    <t>Ministry of Women and Child Development,
Government of India,
Shastri Bhawan, Dr. Rajendra Prasad Road,
New Delhi - 110001, India.</t>
  </si>
  <si>
    <t>wcd-dhsg@nic.in</t>
  </si>
  <si>
    <t>The National Entrance Screening Test (NEST) is a prestigious entrance examination conducted for admission into the five-year integrated MSc programs at the National Institute of Science Education and Research (NISER), Bhubaneswar, and the UM-DAE Centre for Excellence in Basic Sciences, Mumbai. The test assesses candidates on their knowledge in various science subjects, including Physics, Chemistry, Mathematics, and Biology, and aims to evaluate their analytical and problem-solving skills. The examination plays a crucial role in identifying talented individuals who aspire to pursue careers in scientific research and education.</t>
  </si>
  <si>
    <t>NEST 2024 is a national-level entrance examination designed for students who wish to pursue an integrated MSc in basic sciences. It tests candidates in four key subjects: Physics, Chemistry, Mathematics, and Biology, with a balanced distribution of questions to evaluate their understanding and application of scientific concepts. The exam format consists of multiple-choice questions (MCQs), and candidates must demonstrate their proficiency across these subjects, aligning with the NCERT syllabus for Classes XI and XII. The registration for the exam begins on April 3, 2024, and closes on June 3, 2024, with the examination scheduled for June 30, 2024. Candidates need to secure a minimum of 60% aggregate marks in their Class XII board examinations, with relaxation for SC/ST and Divyangjan candidates. The exam is known for its rigorous evaluation process and is a gateway to some of India's top research institutions, fostering a new generation of scientists.</t>
  </si>
  <si>
    <t>https://www.nestexam.in/</t>
  </si>
  <si>
    <t>1.Visit the official NEST website.
2.Register for the exam by creating an account.
3.Fill in the online application form with personal and educational details.
4.Upload required documents, including a passport-sized photograph and signature.
5.Pay the application fee (Rs. 1200 for General/OBC/EWS and Rs. 600 for SC/ST/PWD/Female candidates).
6.Submit the application and save the summary page for future reference</t>
  </si>
  <si>
    <t>1.Recent passport-sized photograph.
2.Signature image.
3.Mark sheets of Class X and XII or equivalent examinations.
4.Any additional documents as specified during the application process (such as category certificates, if applicable)​</t>
  </si>
  <si>
    <t>https://www.youtube.com/watch?v=example</t>
  </si>
  <si>
    <t>Dr. Homi Bhabha Road,
Pashan, Pune - 411008,
Maharashtra, India</t>
  </si>
  <si>
    <t>nestexam@nisernagpur.ac.in</t>
  </si>
  <si>
    <t>The National Fellowship and Scholarship for Higher Education of Scheduled Tribe (ST) Students is a government initiative aimed at promoting education among ST students pursuing M.Phil. and Ph.D. programs. The program, managed by the Ministry of Tribal Affairs, provides financial assistance through fellowships and scholarships to encourage higher education among these communities. Annually, 750 fellowships and 1,000 scholarships are awarded, ensuring that students have the necessary support to complete their studies.</t>
  </si>
  <si>
    <t>This Central Sector Scheme is designed to facilitate the educational advancement of Scheduled Tribe students by providing them with financial aid for their higher education pursuits. The fellowship is available for students who are enrolled in M.Phil. or Ph.D. programs at recognized institutions. Eligible candidates receive a monthly stipend of ₹25,000 for M.Phil. and ₹28,000 for Ph.D., along with additional benefits such as contingency funds, travel grants, and assistance for differently-abled students. Scholarships cover tuition fees, living expenses, and necessary academic supplies, ensuring that students from ST backgrounds can focus on their studies without financial burden. The program emphasizes merit and allocates slots with consideration for specific categories such as Persons with Disabilities and economically disadvantaged groups. The application process is conducted online, and candidates are required to verify their documents through the respective universities. The fellowship remains valid throughout the course, contingent upon satisfactory academic performance.</t>
  </si>
  <si>
    <t xml:space="preserve">National Fellowship and Scholarship for Higher Education of ST Students
</t>
  </si>
  <si>
    <t>1.Visit the official website of the National Fellowship for ST Students.
2.Register as a new user by providing your details.
3.Log in to your account using the credentials created.
4.Fill out the application form with accurate information regarding your educational background and family income.
5.Upload the required documents as specified in the application guidelines.
6.Submit the application form before the deadline.
7.Keep a copy of the submitted application for future reference.</t>
  </si>
  <si>
    <t>1.Proof of Scheduled Tribe (ST) certificate
2.Mark sheets of previous examinations (10th, 12th, graduation, etc.)
3.Admission letter to the current course
4.Income certificate of the family
5.Passport-sized photographs
6.Bank account details (for scholarship disbursement)
7.Any additional documents as specified in the application form</t>
  </si>
  <si>
    <t>https://www.youtube.com/watch?v=dQw4w9WgXcQ</t>
  </si>
  <si>
    <t>91-11-23382790</t>
  </si>
  <si>
    <t>Ministry of Tribal Affairs, Government of India, Room No. 204, 2nd Floor, Shastri Bhawan, Dr. Rajendra Prasad Road, New Delhi-110001</t>
  </si>
  <si>
    <t>mota@nic.in</t>
  </si>
  <si>
    <t>National ICT Scholarship Award for School Teachers</t>
  </si>
  <si>
    <t>The National ICT Scholarship Award for School Teachers is an initiative aimed at enhancing the digital skills of school teachers across India. The program recognizes the critical role that teachers play in shaping the future of students and promotes the integration of Information and Communication Technology (ICT) in education. By providing financial assistance and resources, the scholarship aims to empower teachers to adopt innovative teaching methods and effectively use technology in their classrooms. This initiative supports the government’s vision of improving the quality of education through technology-driven teaching practices.</t>
  </si>
  <si>
    <t>The National ICT Scholarship Award for School Teachers is designed to foster digital literacy among educators in India, enabling them to utilize technology effectively in the teaching-learning process. This scholarship program offers financial support to teachers who wish to undergo ICT training programs and pursue courses that enhance their technological skills. By equipping teachers with the necessary tools and knowledge, the initiative aims to bridge the digital divide in education, ensuring that teachers are well-prepared to navigate the evolving educational landscape. The program covers various aspects of ICT, including digital pedagogy, e-learning tools, and online teaching methods. Teachers from both government and private schools are eligible to apply, encouraging widespread participation. The selection process is based on merit, with a focus on candidates who demonstrate a commitment to improving their ICT skills and enhancing student learning outcomes. Through this scholarship, the government seeks to empower educators, improve teaching quality, and ultimately enhance students' learning experiences in a technology-driven world. The initiative aligns with national education policies and aims to create a cadre of tech-savvy teachers who can inspire students and prepare them for the challenges of the 21st century.</t>
  </si>
  <si>
    <t>http://www.mhrd.gov.in/</t>
  </si>
  <si>
    <t>1.Visit the official website of the National ICT Scholarship Award.
2.Create an account by registering with your details.
3.Log in using your credentials.
4.Complete the online application form with the required information.
5.Upload the necessary documents as specified in the application guidelines.
6.Submit the application before the deadline.
7.Keep a confirmation of your application submission for future reference.</t>
  </si>
  <si>
    <t>1.Proof of employment as a school teacher (appointment letter)
2.Academic qualification certificates
3.Proof of age (Aadhaar card or birth certificate)
4.Any relevant training or certification in ICT
5.Passport-sized photographs
6.Bank account details (for scholarship disbursement)
7.Additional documents as specified in the application form</t>
  </si>
  <si>
    <t>91-11-23382337</t>
  </si>
  <si>
    <t>Ministry of Human Resource Development, Government of India, Shastri Bhawan, Dr. Rajendra Prasad Road, New Delhi-110001</t>
  </si>
  <si>
    <t>mhrd@nic.in</t>
  </si>
  <si>
    <t>The National Means Cum Merit Scholarship (NMMS) is a scholarship program launched by the Government of India to encourage and support meritorious students from economically disadvantaged backgrounds. The scheme aims to reduce the dropout rate among students in classes 9 to 12 by providing financial assistance to those pursuing their education. By offering financial aid, NMMS seeks to empower students to continue their studies and achieve their academic goals, thereby promoting educational equity and access for all.</t>
  </si>
  <si>
    <t>The National Means Cum Merit Scholarship (NMMS) is a government initiative designed to provide financial assistance to deserving students from economically weaker sections of society. The scholarship targets students studying in class 8 who are likely to pursue their education up to class 12 and beyond. To be eligible, students must have a minimum percentage in their class 7 examination and qualify through a merit-based selection process. The scholarship offers a yearly financial support amount, which helps cover expenses related to school fees, books, and other educational resources. The NMMS program not only alleviates the financial burden on families but also serves as an incentive for students to perform well academically. The scholarship aims to ensure that talented students from low-income families have the opportunity to continue their education and achieve higher qualifications, ultimately contributing to their personal and professional development. By promoting educational attainment among economically disadvantaged students, the NMMS aligns with the government’s broader objectives of improving literacy rates and fostering social mobility in India. The initiative plays a crucial role in enhancing the quality of education by encouraging students to aspire for excellence, thereby contributing to a more inclusive and equitable educational landscape.</t>
  </si>
  <si>
    <t>1.Visit the official NMMS website.
2.Register for the scholarship by filling out the online registration form.
3.Log in using your credentials.
4.Complete the application form with required personal and educational details.
5.Upload necessary documents as specified in the application guidelines.
6.Submit the application before the deadline.
7.Keep a copy of the submitted application for future reference.</t>
  </si>
  <si>
    <t>1.Income certificate of the family
2.Class 7 report card (or equivalent)
3.School certificate/bonafide certificate
4.Aadhaar card or other identification proof
5.Passport-sized photographs
6.Bank account details (for scholarship disbursement)
7.Any additional documents as specified in the application form</t>
  </si>
  <si>
    <t>Ministry of Education, Government of India, Shastri Bhawan, Dr. Rajendra Prasad Road, New Delhi-110001</t>
  </si>
  <si>
    <t>The National Scholarship Exam aims to identify and reward talented students across India. It provides scholarships based on merit to encourage students to excel in academics and overall development.</t>
  </si>
  <si>
    <t>This examination is designed for students from classes 5 to 12, focusing on their knowledge and skills in various subjects. The scholarship aims to promote a competitive spirit among students and support their educational endeavors financially. The selection process is merit-based, and students who score above a certain threshold are awarded scholarships that help cover tuition fees and other educational expenses. This initiative contributes to nurturing talent and enabling students to pursue their academic aspirations without financial constraints.</t>
  </si>
  <si>
    <t>http://www.nationalscholarshipexam.com</t>
  </si>
  <si>
    <t>1.Visit the official website.
2.Register for the exam.
3.Fill out the application form.
4.Pay the examination fee.
5.Submit the application.
6.Prepare for the exam date.</t>
  </si>
  <si>
    <t>1.Identification proof (Aadhaar card)
2.Recent passport-sized photograph
3.Academic records (previous class marks)</t>
  </si>
  <si>
    <t>https://www.youtube.com/watch?v=YHJvrk5oPDk&amp;ab_channel=McMasterUniversity</t>
  </si>
  <si>
    <t>91-1234567890</t>
  </si>
  <si>
    <t>national Scholarship Exam
Office Address:
Scholarship Division,
Vidyamandir Classes Pvt. Ltd.
A/104, Om Tower, 1st Floor,
Near Dadar Station (East),
Dadar, Mumbai - 400014,
Maharashtra, India.</t>
  </si>
  <si>
    <t>info@nationalscholarshipexam.com</t>
  </si>
  <si>
    <t>The National Science Concours is a platform that encourages students to explore their scientific interests through various competitions. It aims to promote scientific literacy and innovation among young learners.</t>
  </si>
  <si>
    <t>The NSC hosts annual competitions focusing on science, technology, engineering, and mathematics (STEM) topics for students from classes 1 to 12. Participants engage in various activities, including quizzes, experiments, and project presentations. The concours provides a stage for students to showcase their scientific skills and creativity, with scholarships awarded to top performers. The initiative aims to foster a love for science and inspire students to pursue careers in STEM fields, contributing to the country’s scientific advancements.</t>
  </si>
  <si>
    <t>http://www.nationalscienceconcours.com/</t>
  </si>
  <si>
    <t>1.Register on the official website.
2.Fill out the application form.
3.Choose the competition category.
4.Submit the required documents.
5.Prepare for the competition.</t>
  </si>
  <si>
    <t>1.School ID card
2.Recent photograph
3.Academic records</t>
  </si>
  <si>
    <t>https://www.youtube.com/results?search_query=National+Science+Concours+(NSC)+</t>
  </si>
  <si>
    <t>91-9876543210</t>
  </si>
  <si>
    <t>National Science Concours (NSC)
Address:
National Science Concours
B-1, 3rd Floor,
Shivaji Park,
Dadar (W),
Mumbai - 400028,
Maharashtra, India</t>
  </si>
  <si>
    <t>contact@nationalscienceconcours.com</t>
  </si>
  <si>
    <t>National Space Society Art Contest</t>
  </si>
  <si>
    <t>The National Space Society Art Contest invites artists of all ages to express their vision of space exploration and its impact on humanity through various artistic mediums.</t>
  </si>
  <si>
    <t>This annual contest encourages creativity and innovation by allowing participants to submit artworks that reflect their understanding and aspirations for space. The competition is open to individuals of all ages and focuses on themes such as space exploration, science, and the future of humanity in space. Winning entries receive recognition and prizes, including scholarships for further studies in art or science-related fields. The initiative aims to inspire a new generation of artists and scientists, fostering a deeper appreciation for space and its possibilities.</t>
  </si>
  <si>
    <t>space.nss.org</t>
  </si>
  <si>
    <t>1.Visit the official contest website.
2.Review the contest guidelines and themes.
3.Submit your artwork along with an application form.
4.Include a brief description of the artwork.
5.Ensure submission by the deadline.</t>
  </si>
  <si>
    <t>1.Artwork submission
2.Completed application form
3.Artist statement (optional)</t>
  </si>
  <si>
    <t>https://www.youtube.com/results?search_query=National+Space+Society+Art+Contest+</t>
  </si>
  <si>
    <t>1-202-429-1600</t>
  </si>
  <si>
    <t>National Space Society
P.O. Box 292127
Los Angeles, CA 90029-0127
USA</t>
  </si>
  <si>
    <t>contest@nss.org</t>
  </si>
  <si>
    <t>The Nationwide Education and Scholarship Test (NEST-Senior) is a competitive examination aimed at identifying and rewarding talented students in their senior secondary education. This initiative encourages academic excellence among students from classes 11 and 12 across India by providing financial assistance through scholarships. NEST-Senior seeks to motivate students to perform to the best of their abilities while easing the financial burden associated with pursuing higher education.</t>
  </si>
  <si>
    <t>The NEST-Senior is designed to assess students’ knowledge, skills, and competencies in various subjects relevant to their academic curriculum. The test is conducted annually, and students from class 11 and 12 are eligible to participate. The exam covers a broad range of topics, including Mathematics, Science, and English, and is structured to challenge students while providing a platform to showcase their talents. Successful candidates are awarded scholarships based on their performance, which can be used to offset tuition fees and other educational expenses. The initiative not only aims to support deserving students financially but also to foster a spirit of competition and academic rigor among participants. By incentivizing hard work and dedication, NEST-Senior plays a crucial role in enhancing the educational landscape and ensuring that talented individuals have access to higher learning opportunities.</t>
  </si>
  <si>
    <t>https://www.nest.net.in/</t>
  </si>
  <si>
    <t>1.Visit the official NEST-Senior website.
2.Register as a new user by providing necessary details.
3.Log in to your account using the credentials created.
4.Fill out the online application form with accurate information.
5.Upload the required documents as specified in the application guidelines.
6.Pay the examination fee online.</t>
  </si>
  <si>
    <t>1.Identification proof (Aadhaar card or equivalent)
2.Recent passport-sized photographs
3.Academic records (previous class marks)
4.Income certificate (if applicable)
5.Any additional documents as specified in the application form</t>
  </si>
  <si>
    <t>Nationwide Education and Scholarship Test (NEST)
Address: A-302, 3rd Floor, Mangal Bhavan,
Dindayal Nagar, Near Hanuman Mandir,
Ghatkopar (East), Mumbai - 400077,
Maharashtra, India.</t>
  </si>
  <si>
    <t>info@nest.net.in</t>
  </si>
  <si>
    <t>The NBHM (National Board for Higher Mathematics) Scholarship for Post Graduate Studies in Mathematics is a prestigious scholarship program designed to support students pursuing their master's degrees in mathematics across India. This initiative aims to promote advanced studies and research in mathematics by providing financial assistance to deserving candidates. By encouraging students to excel in their mathematical studies, the program contributes to the development of a skilled workforce in the field of mathematics, fostering innovation and research in various mathematical disciplines.</t>
  </si>
  <si>
    <t>The NBHM Scholarship for Post Graduate Studies in Mathematics is aimed at students who have completed their undergraduate degree in mathematics or a related field and wish to pursue a postgraduate degree in mathematics at recognized institutions in India. The scholarship provides financial support to cover tuition fees, living expenses, and other educational costs, enabling students to focus on their studies without financial burdens. The selection process is competitive and based on the performance in the NBHM Scholarship Exam, which assesses the candidates' understanding of mathematical concepts and their problem-solving abilities. Awardees of the scholarship not only benefit financially but also gain recognition and support from a prestigious body dedicated to advancing mathematics education in the country. The initiative plays a crucial role in enhancing the quality of mathematical education in India and encourages students to engage in research and higher studies, ultimately contributing to the country's academic and scientific progress.</t>
  </si>
  <si>
    <t>https://nbhm.dae.gov.in/</t>
  </si>
  <si>
    <t>1.Visit the official NBHM website.
2.Check the eligibility criteria and application deadlines.
3.Fill out the online application form with accurate details.
4.Upload necessary documents, including academic transcripts and identification proof.
5.Submit the application before the specified deadline.
6.Prepare for the NBHM Scholarship Exam.</t>
  </si>
  <si>
    <t>1.Completed application form
2.Academic transcripts (undergraduate degree)
3.Proof of identification (Aadhaar card or equivalent)
4.Passport-sized photograph
5.Any additional documents as specified in the application guidelines</t>
  </si>
  <si>
    <t>91-22-22781614</t>
  </si>
  <si>
    <t>National Board for Higher Mathematics, Department of Atomic Energy, Government of India, Mumbai-400 085.</t>
  </si>
  <si>
    <t>nbhm@dae.gov.in</t>
  </si>
  <si>
    <t>The NBHM (National Board for Higher Mathematics) Scholarship for Post Graduate Studies in Mathematics is an initiative by the Department of Atomic Energy, Government of India, aimed at promoting advanced studies and research in mathematics. This scholarship provides financial assistance to students pursuing a Master's degree in Mathematics at recognized institutions across India. The program encourages talented individuals to enhance their knowledge and skills in mathematics, contributing to the development of a robust mathematical community in the country.</t>
  </si>
  <si>
    <t>The NBHM Scholarship for Post Graduate Studies in Mathematics is specifically designed for students who have completed their undergraduate degree in mathematics or related fields and aspire to pursue a postgraduate degree. The scholarship provides financial support to cover tuition fees, living expenses, and other educational costs, allowing students to focus on their studies without the burden of financial constraints. To qualify for the scholarship, candidates must demonstrate exceptional aptitude in mathematics, as the selection process is based on performance in the NBHM Scholarship Examination.</t>
  </si>
  <si>
    <t>june to july</t>
  </si>
  <si>
    <t>1.Visit the Official Website: Go to the NBHM scholarship page.
2.Check Eligibility Criteria: Ensure you meet the eligibility requirements.
3.Fill Out the Application Form: Complete the online application with accurate information.
4.Upload Required Documents: Provide necessary documents such as academic transcripts and identification proof.
5.Submit the Application: Submit your application before the specified deadline.
6.Prepare for the Examination: Get ready for the NBHM Scholarship Exam, which is part of the selection process.</t>
  </si>
  <si>
    <t>1.Completed application form
2.Academic transcripts (undergraduate degree)
3.Proof of identification (such as an Aadhaar card)
4.Recent passport-sized photographs
5.Any additional documents as specified in the application guidelines</t>
  </si>
  <si>
    <t>National Board for Higher Mathematics
Tata Institute of Fundamental Research
Homi Bhabha Road, Colaba
Mumbai - 400 005
Maharashtra, India.</t>
  </si>
  <si>
    <t>nbhm@tifr.res.in</t>
  </si>
  <si>
    <t>NCPCR Short Film/Still Photography/Poster Competition</t>
  </si>
  <si>
    <t>The NCPCR (National Commission for Protection of Child Rights) Short Film/Still Photography/Poster Competition is an initiative aimed at promoting awareness about children's rights and issues related to child welfare in India. This competition encourages creative expressions through various artistic mediums, including short films, still photography, and posters. By engaging participants in a creative dialogue, the NCPCR seeks to highlight the importance of safeguarding children's rights and ensuring their overall development.</t>
  </si>
  <si>
    <t>The NCPCR competition invites participants from various age groups to submit entries in the form of short films, photographs, or posters that creatively depict themes related to child rights and welfare. The objective is to raise awareness about critical issues affecting children, such as education, health, protection from abuse, and exploitation. Participants are encouraged to express their thoughts and messages creatively, fostering a deeper understanding of the challenges faced by children in society. The competition provides a platform for young artists and filmmakers to showcase their talent while contributing to a significant cause. Selected entries are recognized and awarded prizes, which may include certificates, cash awards, and opportunities for further exposure. The initiative aims to inspire a collective responsibility towards children's rights and promote active participation in advocacy for their welfare through the power of visual storytelling.</t>
  </si>
  <si>
    <t>http://ncpcr.gov.in/</t>
  </si>
  <si>
    <t>1.Visit the Official NCPCR Website: Navigate to the competition section.
2.Review the Guidelines: Understand the themes, rules, and eligibility criteria.
3.Prepare Your Submission: Create your short film, photograph, or poster as per the competition requirements.
4.Fill Out the Application Form: Complete the online application form with required details.
5.Upload Your Entry: Submit your artwork along with the application form.
6.Submit Before Deadline: Ensure that your submission is completed before the competition deadline.</t>
  </si>
  <si>
    <t>1.Completed application form
2.Creative submission (short film, photograph, or poster)
3.Proof of identity (Aadhaar card or equivalent)
4.Any additional documents as specified in the competition guidelines</t>
  </si>
  <si>
    <t>91-11-23382726</t>
  </si>
  <si>
    <t>National Commission for Protection of Child Rights, 5th Floor, Chanderlok Building, 36, Janpath, New Delhi - 110001, India.</t>
  </si>
  <si>
    <t>ncpcr@nic.in</t>
  </si>
  <si>
    <t>The NEC (North Eastern Council) Merit Scholarship for Tripura is an initiative aimed at providing financial support to meritorious students from the northeastern states of India. This scholarship is designed to promote higher education among students, particularly those from economically weaker sections, by offering assistance based on their academic performance. The scholarship aims to encourage students to pursue their educational aspirations and help them achieve their career goals.</t>
  </si>
  <si>
    <t>The NEC Merit Scholarship for Tripura is available to students pursuing undergraduate and postgraduate courses in various fields at recognized institutions. The scholarship focuses on providing financial assistance to students who demonstrate academic excellence but face financial challenges in continuing their education. The selection process typically involves evaluating the academic performance of applicants based on their previous examinations. The scholarship aims to alleviate the financial burden on students, enabling them to concentrate on their studies without the stress of funding their education. Awardees receive monetary support that can be utilized for tuition fees, books, and other educational expenses. By promoting higher education in Tripura and the northeastern region, the NEC Merit Scholarship plays a crucial role in fostering educational development and enhancing the skill set of the youth in the area.</t>
  </si>
  <si>
    <t>https://necouncil.gov.in/</t>
  </si>
  <si>
    <t>1.Visit the Official NEC Website: Navigate to the scholarship section.
2.Check Eligibility Criteria: Review the eligibility requirements for the scholarship.
3.Fill Out the Application Form: Complete the online application form with accurate details.
4.Upload Required Documents: Submit necessary documents such as academic records and identification proof.
5.Submit the Application: Ensure your application is submitted before the deadline.
6.Await Selection Results: Keep track of the announcement of selected candidates.</t>
  </si>
  <si>
    <t>1.Completed application form
2.Academic transcripts (previous examinations)
3.Proof of identification (Aadhaar card or equivalent)
4.Income certificate (if applicable)
5.Recent passport-sized photograph</t>
  </si>
  <si>
    <t>91-11-23353851</t>
  </si>
  <si>
    <t>North Eastern Council Secretariat, Nongrim Hills, Shillong-793003, Meghalaya, India.</t>
  </si>
  <si>
    <t>nec@nic.in</t>
  </si>
  <si>
    <t>The NEC (North Eastern Council) Stipend and Book Grant Scheme in Nagaland is designed to provide financial support to students from the northeastern region, particularly those pursuing higher education. This initiative aims to alleviate the financial burden of educational expenses, thereby enabling students to focus on their studies. The scheme recognizes the importance of education in fostering economic development and social progress in the region.</t>
  </si>
  <si>
    <t>The NEC Stipend and Book Grant Scheme targets students enrolled in undergraduate and postgraduate courses across various disciplines in recognized institutions. The scheme provides stipends to assist with living expenses and book grants to cover the costs of essential study materials. This financial assistance aims to support students from economically disadvantaged backgrounds, ensuring they have access to necessary resources for their academic pursuits. The selection process is typically based on academic performance and financial need, allowing for the identification of deserving candidates. By promoting higher education and reducing the financial barriers that many students face, the NEC Stipend and Book Grant Scheme plays a vital role in enhancing educational opportunities in Nagaland. The initiative also aims to empower students by providing them with the necessary tools to succeed in their studies and contribute positively to society.</t>
  </si>
  <si>
    <t>1.Visit the Official NEC Website: Go to the scholarship section related to the stipend and book grant.
2.Check Eligibility Criteria: Review the eligibility requirements and guidelines for the scheme.
3.Fill Out the Application Form: Complete the online application form with accurate details.
4.Upload Required Documents: Provide necessary documents such as academic records and proof of identity.
5.Submit the Application: Ensure that your application is submitted before the deadline.
6.Await Selection Results: Stay informed about the announcement of selected candidates.</t>
  </si>
  <si>
    <t>1.Completed application form
2.Academic transcripts (previous examinations)
3.Proof of identification (such as an Aadhaar card)
4.Income certificate (if applicable)
5.Recent passport-sized photograph
6.Any additional documents as specified in the application guidelines</t>
  </si>
  <si>
    <t>The New India Foundation Fellowships aim to promote research and scholarship on contemporary issues concerning India’s political, social, and cultural landscape. The foundation supports projects that enhance understanding of India’s development and contribute to policy formulation.</t>
  </si>
  <si>
    <t>These fellowships are designed for researchers, scholars, and professionals interested in delving into contemporary Indian issues. The program provides financial support to selected fellows to conduct research and write on various topics relevant to India. Fellows can explore diverse areas such as governance, social justice, economic policy, and cultural studies. The initiative encourages interdisciplinary approaches and supports innovative research methods. The foundation seeks to generate high-quality academic outputs that inform public discourse and contribute to the understanding of India's multifaceted challenges. Awardees receive not only financial assistance but also mentorship and networking opportunities with established scholars in their fields.</t>
  </si>
  <si>
    <t>https://www.newindiafoundation.org/</t>
  </si>
  <si>
    <t>1.Visit the official New India Foundation website.
2.Review the fellowship guidelines and eligibility criteria.
3.Prepare a research proposal outlining your project.
4.Complete the online application form.
5.Submit your application along with the necessary documents.</t>
  </si>
  <si>
    <t>1.Research proposal
2.Curriculum Vitae
3.Proof of academic qualifications
4.Letters of recommendation
5.Any additional documents as specified in the application guidelines</t>
  </si>
  <si>
    <t>91-80-4094-5113</t>
  </si>
  <si>
    <t>New India Foundation, 2nd Floor, No. 2, N. K. Towers, 5th Cross, 3rd Block, Koramangala, Bengaluru – 560034, India.</t>
  </si>
  <si>
    <t>info@newindiafoundation.org</t>
  </si>
  <si>
    <t>Next Generation India Scholarship</t>
  </si>
  <si>
    <t>The Next Generation India Scholarship is aimed at empowering students from diverse backgrounds to pursue higher education. The scholarship focuses on nurturing young talent and providing financial assistance to those who show promise in their academic and professional pursuits.</t>
  </si>
  <si>
    <t>This scholarship program seeks to support students in their journey toward higher education, offering financial assistance to cover tuition fees, living expenses, and study materials. The initiative is designed to identify and support meritorious students from economically disadvantaged backgrounds, enabling them to access quality education. Applicants are evaluated based on their academic achievements, extracurricular activities, and personal statements. The scholarship not only provides financial aid but also offers mentorship and guidance to help students navigate their academic and career paths effectively. By fostering a culture of excellence and inclusivity, the Next Generation India Scholarship aims to empower the next generation of leaders and innovators.</t>
  </si>
  <si>
    <t>https://nextgenerationindia.org/</t>
  </si>
  <si>
    <t>1.Visit the official scholarship website.
2.Check the eligibility criteria and guidelines.
3.Complete the online application form.
4.Upload the required documents.
5.Submit your application before the deadline.</t>
  </si>
  <si>
    <t>1.Completed application form
2.Academic transcripts
3.Proof of identification
4.Income certificate
5.Letters of recommendation (if applicable)</t>
  </si>
  <si>
    <t>91-80-1234-5678</t>
  </si>
  <si>
    <t>Next Generation India Foundation, 12, 3rd Floor, ABC Building, New Delhi – 110001, India.</t>
  </si>
  <si>
    <t>info@nextgenerationindia.org</t>
  </si>
  <si>
    <t>The Nirankari Rajmata Scholarship Scheme is an initiative aimed at supporting underprivileged students, especially girls, in their pursuit of higher education. The scheme emphasizes the importance of education as a means of empowerment and social change.</t>
  </si>
  <si>
    <t>This scholarship scheme provides financial assistance to students from economically weaker sections, enabling them to access quality education at various levels, including undergraduate and postgraduate studies. The initiative focuses particularly on promoting education for girls and women, recognizing the role of education in fostering gender equality. Eligible students receive funding to cover tuition fees, books, and other educational expenses. The application process typically involves submitting an online application form along with supporting documents. The scholarship aims to uplift deserving candidates and encourage them to pursue their academic and professional aspirations.</t>
  </si>
  <si>
    <t>http://www.nirankari.org/</t>
  </si>
  <si>
    <t>1.Visit the official Nirankari website.
2.Review the scholarship guidelines and eligibility criteria.
3.Complete the online application form.
4.Upload required documents.
5.Submit your application before the deadline.</t>
  </si>
  <si>
    <t>1.Completed application form
2.Academic records
3.Proof of income
4.Identification proof
5.Recent passport-sized photograph</t>
  </si>
  <si>
    <t>91-11-2332-3232</t>
  </si>
  <si>
    <t>Sant Nirankari Satsang Bhawan, Nirankari Colony, Delhi – 110009, India.</t>
  </si>
  <si>
    <t>info@nirankari.org</t>
  </si>
  <si>
    <t>The Nirmaan Scholarship and Mentorship Program (NSMP) is designed to empower students from marginalized communities by providing financial support and mentorship for their education. This initiative aims to foster academic excellence and personal development.</t>
  </si>
  <si>
    <t>NSMP offers scholarships to students pursuing higher education in various fields, focusing on those who demonstrate academic potential but face financial challenges. The program not only provides monetary assistance to cover educational expenses but also includes a mentorship component, pairing students with experienced professionals who guide them through their academic journey. The scholarship supports a range of courses and aims to develop skills that enhance employability. NSMP encourages holistic development, focusing on both academic performance and personal growth. By investing in the education of underprivileged students, the program contributes to building a more equitable society.</t>
  </si>
  <si>
    <t>https://nirmaan.org/</t>
  </si>
  <si>
    <t>1.Visit the official Nirmaan website.
2.Check the scholarship guidelines and eligibility criteria.
3.Fill out the online application form.
4.Upload required documents.
5.Submit the application before the deadline.</t>
  </si>
  <si>
    <t>1.Completed application form
2.Academic transcripts
3.Proof of income
4.Identification proof
5.Recent passport-sized photograph</t>
  </si>
  <si>
    <t>91-40-1234-5678</t>
  </si>
  <si>
    <t>Nirmaan Organization, H.No. 123, Road No. 10, Banjara Hills, Hyderabad – 500034, India.</t>
  </si>
  <si>
    <t>info@nirmaan.org</t>
  </si>
  <si>
    <t>The NIU (Noida International University) Scholarship cum Admission Test is designed to provide financial assistance to deserving students while facilitating their admission to various programs at the university. The test evaluates students' academic abilities and provides scholarships based on their performance.</t>
  </si>
  <si>
    <t>The NIU Scholarship cum Admission Test aims to attract talented students by offering scholarships that can significantly reduce their educational expenses. Students interested in enrolling in undergraduate and postgraduate programs at NIU can take this admission test, which assesses their knowledge and skills across various subjects. Based on their performance, students may receive scholarships that cover partial or full tuition fees. The initiative encourages academic excellence and helps students from diverse backgrounds access quality education. The scholarship program is part of NIU's commitment to promoting higher education and supporting students in achieving their academic and career goals.</t>
  </si>
  <si>
    <t>https://niu.edu.in/</t>
  </si>
  <si>
    <t>1.Visit the official NIU website.
2.Check the details of the scholarship and admission test.
3.Register for the scholarship cum admission test.
4.Prepare for and appear in the test.
5.Await results and scholarship announcements.</t>
  </si>
  <si>
    <t>1.Completed application form
2.Academic transcripts
3.Identification proof
4.Recent passport-sized photograph
5.Any additional documents as specified in the admission guidelines</t>
  </si>
  <si>
    <t>91-120-4800800</t>
  </si>
  <si>
    <t>Noida International University
Sector 17A, Yamuna Expressway,
Greater Noida, Uttar Pradesh, India - 201306</t>
  </si>
  <si>
    <t>info@niu.edu.in</t>
  </si>
  <si>
    <t>The North South Foundation (NSF) Scholarship is a prestigious program aimed at supporting meritorious yet economically disadvantaged students in India. It was established by the NSF, a U.S.-based nonprofit organization founded by Dr. Ratnam Chitturi. The scholarship provides financial assistance to students entering professional courses like engineering, medicine, agriculture, and others. To be eligible, students must have scored in the top ranks of entrance exams and belong to families with low annual incomes. NSF’s mission is to promote academic excellence, reduce dropout rates due to financial constraints, and nurture future leaders from underserved communities.</t>
  </si>
  <si>
    <t>The North South Foundation (NSF) Scholarship is designed to assist academically talented students from underprivileged backgrounds in India. The scholarship is available for students who have secured admission into various professional courses such as engineering, medicine, agriculture, or other recognized degree programs after completing their higher secondary education. The primary aim is to bridge the gap between high academic potential and the financial inability of students to afford higher education. NSF specifically targets students who have excelled in competitive entrance exams, securing top ranks but lacking sufficient resources to fund their education. Eligibility criteria include a family income of less than ₹1.5 lakh per year, and the selection process is transparent, with emphasis on academic merit and financial need. The scholarship typically covers tuition fees and other educational expenses, helping students focus on their studies without the burden of financial insecurity. NSF has awarded thousands of scholarships over the years, making a profound impact on the educational journeys of students across India. The foundation also encourages alumni to give back by mentoring new scholars and contributing to the organization's growth.</t>
  </si>
  <si>
    <t>https://www.northsouth.org/public</t>
  </si>
  <si>
    <t>1.Visit the official NSF website and navigate to the scholarship section.
2.Check Eligibility: Ensure you meet the academic and financial criteria.
3.Register: Create an account on the NSF portal.
4.Complete the Application: Fill out the online scholarship application form with personal, academic, and financial details.
5.Submit Required Documents: Upload the necessary documents to support your application.
6.Review and Submit: Double-check all the details and submit the application before the deadline.
7.Track Application: Monitor the status of your application through the online portal.
8.Selection Process: Shortlisted candidates will be contacted for interviews or further verification.</t>
  </si>
  <si>
    <t>1.Recent Passport-size Photograph
2.Proof of Admission to a Professional Course (Engineering, Medicine, etc.)
3.Marksheets from 10th and 12th grades
4.Entrance Exam Rank/Score Card
5.Proof of Family Income (Income Certificate or IT Return)
6.Domicile Certificate
7.Bank Account Details
8.Proof of Identity (Aadhaar Card, Voter ID, etc.)</t>
  </si>
  <si>
    <t>https://www.youtube.com/watch?v=KLfA6ndXhX4</t>
  </si>
  <si>
    <t>91 22-2262-2828</t>
  </si>
  <si>
    <t>Address: 11605 A, Old Georgetown Rd, Suite 305,
Rockville, MD 20852, USA</t>
  </si>
  <si>
    <t>scholarships@northsouth.org</t>
  </si>
  <si>
    <t>The Nurture Merit cum Means Scholarship aims to provide financial assistance to meritorious students facing economic difficulties. It is designed for students pursuing their graduation and is particularly focused on those who have demonstrated academic excellence by securing at least 75% in their previous qualifying exams. The scholarship seeks to encourage such students to continue their education without being burdened by financial constraints. It awards INR 20,000 to selected candidates, and typically supports about 10 students annually. The scheme is administered by Buddy4Study and is open to Indian students across various streams.</t>
  </si>
  <si>
    <t>The Nurture Merit cum Means Scholarship is a financial aid program designed to support academically bright yet economically challenged students pursuing graduation. To be eligible, candidates must have achieved a minimum of 75% in their prior examinations and their family income should not exceed INR 2 lakhs per annum. This initiative not only helps ease the financial burden but also motivates students to continue their higher education, promoting academic achievement among students who might otherwise struggle to afford their studies. The scholarship offers INR 20,000 to each recipient and requires applicants to provide relevant documents such as their latest photograph, identity proof, income certificate, and academic records. The selection process is merit-based, ensuring that the most deserving students receive the necessary support. The application process involves registering through the Buddy4Study platform, completing the application form, and submitting all required documents online.</t>
  </si>
  <si>
    <t>1.Visit the Buddy4Study website.
2.Register using your social media accounts (Facebook, Google, or email).
3.After registering, click on "Start Application."
4.Fill in the required details in the application form.
5.Upload the necessary documents, including your academic and financial proof.
6.Submit the completed application.</t>
  </si>
  <si>
    <t>1.Latest passport-size photograph.
2.Marksheets from previous exams.
3.Income certificate.
4.Admission letter to the current course.
5.Identity proof (Aadhaar card).</t>
  </si>
  <si>
    <t>https://www.youtube.com/watch?v=tVrjZG1JcWM&amp;ab_channel=ScholarshipsYojana</t>
  </si>
  <si>
    <t>+91 8527484563</t>
  </si>
  <si>
    <t>Stellar IT Park, C-25, No. 8, 9 &amp; 10 Tower – I, Ground Floor, Sector 62, Noida, Uttar Pradesh 201301</t>
  </si>
  <si>
    <t>scholarships@buddy4study.com</t>
  </si>
  <si>
    <t>The Nurturing Brilliance Cummins Scholarship Program is an initiative by Cummins India to support academically talented students from financially disadvantaged backgrounds. The scholarship is aimed at providing financial assistance to students pursuing professional degree programs in engineering. By focusing on merit and economic need, Cummins ensures that deserving students get the opportunity to continue their education and achieve their goals without the burden of financial constraints. This program not only helps students with tuition fees but also opens up possibilities for skill development and career guidance through the Cummins network.</t>
  </si>
  <si>
    <t>The Nurturing Brilliance Cummins Scholarship Program is designed to empower academically meritorious students from economically weaker sections by offering financial assistance throughout their engineering education. The scholarship targets students who demonstrate strong academic potential but may face obstacles in continuing their studies due to financial hardships. In addition to covering educational expenses, this initiative emphasizes holistic development by providing opportunities for mentorship, skill-building, and career guidance through Cummins’ extensive industry network. This ensures that students not only receive financial support but also develop the skills needed to thrive in the engineering sector. Applicants are selected based on academic performance, financial need, and personal circumstances, making it a comprehensive aid package. Through this scholarship, Cummins seeks to contribute to the long-term growth and success of students while fostering innovation, diversity, and inclusion in the engineering profession.</t>
  </si>
  <si>
    <t>https://www.cumminsindia.com/</t>
  </si>
  <si>
    <t>1.Visit the official website or the scholarship portal.
2.Register by creating a new account or logging in if you already have one.
3.Fill in the personal and academic details in the application form.
4.Upload the necessary documents as required.
5.Review the form carefully and ensure all information is correct.
6.Submit the application and wait for a confirmation email or notification.
7.Shortlisted candidates may be required to attend interviews or provide additional information.</t>
  </si>
  <si>
    <t>1.Proof of identity (Aadhaar card, PAN card, etc.)
2.Recent passport-sized photographs
3.Academic transcripts or mark sheets (10th, 12th, and any higher education)
4.Family income certificate or proof of financial status
5.Admission letter from the engineering institute
6.Proof of residence
7.Bank account details of the applicant</t>
  </si>
  <si>
    <t>https://www.youtube.com/results?search_query=cummins+nurturing+brilliance+scholarship</t>
  </si>
  <si>
    <t>022-675-89456</t>
  </si>
  <si>
    <t>Cummins India Office, Pune, Maharashtra</t>
  </si>
  <si>
    <t>scholarshipsupport@cummins.com</t>
  </si>
  <si>
    <t>The OIL Merit Scholarship and Awards are initiatives by Oil India Limited (OIL) aimed at supporting and recognizing academic excellence among students. These scholarships provide financial assistance to deserving students, particularly those from economically disadvantaged backgrounds, helping them continue their education without financial stress. The scholarships are open to students at various academic levels, from school to university, and are designed to encourage outstanding performance in academics, as well as professional courses like engineering and medical studies.</t>
  </si>
  <si>
    <t>The OIL Merit Scholarship and Awards Program is a corporate social responsibility (CSR) initiative of Oil India Limited, one of India's leading oil and gas exploration and production companies. The scholarship is intended to support academically meritorious students who are in need of financial assistance. The program targets students across different education levels, including school, college, and professional courses, with a particular focus on students from OIL operational areas, economically weaker sections, and indigenous communities. The scholarship amount varies depending on the course or level of study, offering significant financial relief to cover tuition fees, books, and other educational expenses. In addition to supporting students in India, the program may also consider students studying in reputed international institutions. The selection process is highly competitive, based on academic merit and financial need. By investing in education through scholarships, OIL aims to contribute to the long-term development of human resources in India, enabling students to achieve their educational and career goals</t>
  </si>
  <si>
    <t>https://www.oil-india.com</t>
  </si>
  <si>
    <t>1.Visit the official OIL website and navigate to the “CSR” or “Scholarship” section.
2.Download the application form for the OIL Merit Scholarship.
3.Carefully fill in the required personal, academic, and financial information.
4.Attach the necessary documents as per the guidelines.
5.Submit the application form via the specified method (online or offline).
6.Keep a copy of the application for future reference.
7.Wait for the scholarship committee to review your application and announce the results.</t>
  </si>
  <si>
    <t>1.Recent passport-size photograph
2.Duly filled application form
3.Proof of academic records (mark sheets, transcripts)
4.Income certificate or proof of family income
5.Domicile certificate (if applicable)
6.Caste certificate (if applicable)
7.Proof of admission to an institution (college/school)
8.Bank account details
9.Aadhaar Card (for identification)</t>
  </si>
  <si>
    <t>https://www.youtube.com/results?search_query=OIL+Merit+Scholarship+application</t>
  </si>
  <si>
    <t>Oil India Limited, Plot No. 19, Sector-16A, Noida, Uttar Pradesh - 201301, India</t>
  </si>
  <si>
    <t>oilcsr@oil-india.com</t>
  </si>
  <si>
    <t>ONGC Scholarship to Meritorious SC/ST Students</t>
  </si>
  <si>
    <t>The ONGC Scholarship to Meritorious SC/ST Students is a flagship initiative by Oil and Natural Gas Corporation Limited (ONGC) aimed at supporting the education of deserving students from marginalized SC/ST communities in India. It provides financial assistance to help students pursue higher education in fields such as engineering, medicine, MBA, and geology/geophysics. The scholarship helps ease the financial burden on students and encourages them to excel in their academic endeavors. Every year, around 1,000 students benefit from this program, fostering their career growth and empowerment.</t>
  </si>
  <si>
    <t>The ONGC Scholarship to Meritorious SC/ST Students is designed to promote education and uplift students from underprivileged SC/ST backgrounds. It offers scholarships worth ₹48,000 per year to 1,000 eligible students pursuing professional courses like Engineering, Medical, MBA, and Masters in Geology/Geophysics. This financial support is provided for the entire duration of their respective courses, provided the students maintain a minimum academic performance standard. The scholarship seeks to encourage students to pursue higher education without worrying about financial constraints. To be eligible, students must belong to the SC/ST category, be Indian citizens, and have secured at least 60% marks in their previous qualifying examination. The annual family income should not exceed ₹4.5 lakh. Preference is given to students from economically weaker sections. The application process is conducted online, and candidates must submit their documents for verification. The initiative has empowered many students from marginalized communities, providing them the opportunity to realize their career aspirations and contribute to the nation’s growth.</t>
  </si>
  <si>
    <t>https://ongcscholar.org/</t>
  </si>
  <si>
    <t>1.Visit the official website ONGC Scholarship Portal.
2.Register by filling in the required details such as name, email, and mobile number.
3.Log in to your account using the credentials sent to your email.
4.Complete the scholarship application form with personal and academic details.
5.Upload the necessary documents in the required format.
6.Review the application and submit it.
7.Keep track of your application status on the portal.</t>
  </si>
  <si>
    <t>1.Class 12th mark sheet (for undergraduate students)
2.Graduation mark sheet (for postgraduate students)
3.Caste certificate (SC/ST)
4.Income certificate (not exceeding ₹4.5 lakh per annum)
5.Proof of admission (college or university)
6.Bank account details
7.Recent passport-sized photograph
8.Aadhaar card or any government-issued ID proof</t>
  </si>
  <si>
    <t>ONGC</t>
  </si>
  <si>
    <t>https://www.youtube.com/watch?v=abc123</t>
  </si>
  <si>
    <t>ONGC Scholarship Department, ONGC Bhavan, Tel Bhavan, Dehradun, Uttarakhand, India.</t>
  </si>
  <si>
    <t>scholarship@ongc.co.in</t>
  </si>
  <si>
    <t>The ONGC (Oil and Natural Gas Corporation) Scholarship to Meritorious SC/ST Students is a prestigious program designed to support students from economically weaker sections of the Scheduled Caste (SC) and Scheduled Tribe (ST) communities. The scholarship aims to encourage students pursuing higher education in professional courses like Engineering, MBBS, MBA, and Master's in Geophysics/Geology. This financial assistance helps deserving students overcome the economic barriers that often prevent them from completing their education. Each year, numerous scholarships are awarded to students across the country, helping to promote inclusivity and diversity in the educational sector.</t>
  </si>
  <si>
    <t>The ONGC Scholarship to Meritorious SC/ST Students is a comprehensive initiative launched by the Oil and Natural Gas Corporation to empower students from marginalized communities in India. With a vision to promote higher education, the scholarship supports students pursuing professional degree programs such as Engineering, Medical (MBBS), MBA, and Master’s degrees in Geophysics or Geology. Each year, 1,000 scholarships are offered, with 50% of the awards reserved for female candidates. The scholarship amount is ₹48,000 per year, provided for the entire duration of the course, subject to academic performance. Students from SC/ST categories who are enrolled in their first year of a graduate or postgraduate degree in a recognized institution in India are eligible to apply. The family income of applicants must not exceed ₹4.5 lakhs per annum. ONGC aims to foster inclusivity and remove financial obstacles that deter students from completing their education, thus contributing to the overall development of society and the economy.</t>
  </si>
  <si>
    <t>https://www.ongcscholar.org</t>
  </si>
  <si>
    <t>1.Visit the official ONGC scholarship website.
2.Download the scholarship application form.
3.Fill in the form with accurate personal, educational, and family income details.
4.Attach the required documents (refer to the list below).
4.Submit the application form either online (if an online option is available) or send it by post to the designated ONGC office.</t>
  </si>
  <si>
    <t>1.Recent passport-sized photograph
2.Caste certificate (SC/ST)
3.Income certificate (not exceeding ₹4.5 lakhs per annum)
4.Academic marksheets (previous qualifying exam)
5.Proof of admission in the first year of the eligible course
6.Bank account details (for scholarship disbursement)
7.Aadhaar card or another government I</t>
  </si>
  <si>
    <t>https://www.youtube.com/results?search_query=ongc+scholarship+to+meritorious+SC+ST+students</t>
  </si>
  <si>
    <t>ONGC Scholarship Division, Corporate Office, Oil and Natural Gas Corporation Ltd., 5, Nelson Mandela Marg, Vasant Kunj, New Delhi – 110070, India</t>
  </si>
  <si>
    <t>ongcscholar@ongc.co.in</t>
  </si>
  <si>
    <t>The OP Jindal Engineer &amp; Management Scholarship (OPJEMS) is a prestigious award aimed at promoting academic and leadership excellence among engineering and management students in India. It was established by the OP Jindal Group to honor the legacy of its founder, Mr. O.P. Jindal, a visionary leader and industrialist. This scholarship is open to students from 40 premier engineering and management institutes across the country. The scholarship identifies and nurtures future leaders by recognizing meritorious students based on their academic performance and leadership potential. Each year, a rigorous selection process identifies the top candidates for this award.</t>
  </si>
  <si>
    <t>The OP Jindal Engineer &amp; Management Scholarship (OPJEMS) is one of the most sought-after scholarships for engineering and management students in India. Initiated by the Jindal Group in memory of its founder, Mr. O.P. Jindal, this scholarship aims to support exceptional students by recognizing both academic excellence and leadership potential. Open to students from 40 of India’s premier institutions, including IITs, IIMs, NITs, and top private universities, the scholarship offers monetary awards to the top 100 students annually. The selection process involves an online test that assesses the candidate's knowledge and leadership capabilities, followed by an interview with an esteemed panel of experts. Not only does this scholarship provide financial support to deserving candidates, but it also serves as a platform for students to showcase their talent and abilities in front of industry leaders. The award fosters a culture of excellence and motivates students to become future leaders in engineering and management fields. With a commitment to innovation, leadership, and social responsibility, OPJEMS has supported and empowered hundreds of bright minds to realize their full potential since its inception.</t>
  </si>
  <si>
    <t>https://www.opjems.com/</t>
  </si>
  <si>
    <t>1.Visit the official OPJEMS website.
2.Register as a new user and create an account.
3.Login and complete the application form by entering your personal and academic details.
4.Upload the required documents (see below).
5.Take the online test as part of the selection process.
6.Shortlisted candidates will be invited for a final interview with an expert panel.
7.Await the final result and confirmation of the scholarship.</t>
  </si>
  <si>
    <t>1.Recent passport-sized photograph
2.Scanned copy of ID proof (Aadhaar card, Passport, etc.)
3.Proof of current academic year (College ID card or bonafide certificate)
4.Academic transcripts (previous semester/years)
5.Proof of leadership achievements (if applicable)</t>
  </si>
  <si>
    <t>https://www.youtube.com/watch?v=YXxFtRGOy-8</t>
  </si>
  <si>
    <t>OP Jindal Global University, Sonipat, Haryana, India</t>
  </si>
  <si>
    <t>info@opjems.com</t>
  </si>
  <si>
    <t>The Open Merit Scholarships for Economically Backward Class (EBC) Students, Maharashtra, is an initiative by the Government of Maharashtra aimed at providing financial assistance to students from economically weaker sections. It is designed to encourage meritorious students who have completed their SSC (10th) and are pursuing higher education. The scholarship covers a range of academic fields and is available to students in both junior and senior college levels. By providing financial support, the government aims to reduce dropout rates and promote education among economically disadvantaged students.</t>
  </si>
  <si>
    <t>The Open Merit Scholarships for EBC Students, Maharashtra, is a significant financial aid program initiated by the Directorate of Higher Education, Maharashtra. This scholarship is available to students who have cleared their SSC (10th) examination with at least 60% marks and belong to the Economically Backward Class (EBC). The scheme is specifically designed to support students pursuing education in junior colleges, vocational courses, and undergraduate programs in Maharashtra. The objective is to encourage academic excellence and ensure that students from economically weaker sections do not discontinue their education due to financial constraints. The scholarship amount varies based on the level of education but generally covers tuition fees and other incidental costs. Applicants must be domiciled in Maharashtra and should not be availing any other scholarships simultaneously. The program serves as a vital resource for students who are eager to pursue higher education but lack the financial means, thus promoting inclusive growth in the state’s educational landscape.</t>
  </si>
  <si>
    <t>https://mahadbtmahait.gov.in</t>
  </si>
  <si>
    <t>1Visit the official website mahadbtmahait.gov.in.
2.Register by providing the required details and creating a user ID.
3.Log in using the registered credentials.
4.Search for the "Open Merit Scholarship for EBC Students."
5.Fill in the application form with the necessary details, such as personal information, academic details, and income certificate.
6.Upload the required documents.
7.Review the application and submit it.
8.Keep a copy of the acknowledgment for future reference.</t>
  </si>
  <si>
    <t>1.SSC (10th) mark sheet.
2.Domicile certificate of Maharashtra.
3.Income certificate (proof of EBC status).
4.Admission receipt or proof of enrollment in a recognized institution.
5.Passport-sized photograph.
6.Bank passbook (for account details).
7.Aadhaar Card.</t>
  </si>
  <si>
    <t>https://www.youtube.com/watch?v=hV59XGxZJxs</t>
  </si>
  <si>
    <t>022-49150800</t>
  </si>
  <si>
    <t>Directorate of Higher Education,
Maharashtra State,
3rd Floor, New Administrative Building,
Madam Cama Road,
Hutatma Rajguru Chowk,
Mumbai - 400021,
Maharashtra, India.</t>
  </si>
  <si>
    <t>mahadbt.support@maharashtra.gov.in</t>
  </si>
  <si>
    <t>P K Sinha Centre For Bioenergy Junior Research Fellowship, IIT Kharagpur</t>
  </si>
  <si>
    <t>The P K Sinha Centre for Bioenergy at IIT Kharagpur is dedicated to innovative research in bioenergy, with a focus on developing sustainable and renewable energy sources. The Junior Research Fellowship (JRF) program under this center offers research opportunities to candidates interested in pursuing advanced studies in bioenergy and related fields. It aims to support cutting-edge research that contributes to the creation of eco-friendly energy solutions. This fellowship provides a platform for young researchers to work on interdisciplinary projects and collaborate with experts in bioenergy, helping to advance the field and address global energy challenges.</t>
  </si>
  <si>
    <t>The P K Sinha Centre for Bioenergy Junior Research Fellowship (JRF) at IIT Kharagpur is an opportunity for postgraduate students to engage in high-impact research in the field of bioenergy. The fellowship focuses on addressing key global challenges related to energy sustainability by promoting research into biofuels, biomass conversion, and other renewable energy technologies. Fellows will work under the guidance of experienced faculty members, contributing to projects that may involve microbial and enzymatic biofuel production, bioenergy crops, or advanced biotechnological applications. In addition to research, JRF holders will gain exposure to multidisciplinary approaches, utilizing chemical engineering, molecular biology, and environmental science methodologies. The fellowship is aimed at individuals with a strong academic background, and it seeks to foster innovation and creativity in solving energy-related problems. Applicants are expected to have a passion for research, strong analytical skills, and a commitment to addressing the environmental impacts of traditional energy sources through sustainable alternatives. This fellowship offers not only financial support but also access to world-class research facilities at IIT Kharagpur, preparing candidates for a career in academia or industry in the bioenergy sector.</t>
  </si>
  <si>
    <t>https://www.iitkgp.ac.in/department/BE</t>
  </si>
  <si>
    <t>1.Visit the official website of P K Sinha Centre for Bioenergy, IIT Kharagpur.
2.Navigate to the ‘Junior Research Fellowship’ section or the opportunities page.
3.Download and fill out the application form provided for the JRF program.
4.Attach the required documents (list below).
5.Submit the application either online or via email as per the instructions on the website.
6.Wait for confirmation regarding your eligibility and interview date.</t>
  </si>
  <si>
    <t>1.Updated CV/Resume
2.Statement of Purpose (SOP)
3.Academic transcripts (B.Sc., M.Sc., or equivalent degrees)
4.Certificates of previous qualifications
5.Research Proposal (if required)
6.Two Letters of Recommendation
7.Proof of age and nationality (Aadhaar card/passport copy)
8.Any other document specified in the application guidelines</t>
  </si>
  <si>
    <t>P K Sinha Centre for Bioenergy,
Indian Institute of Technology, Kharagpur,
Kharagpur - 721302,
West Bengal, India.</t>
  </si>
  <si>
    <t>bioenergy@iitkgp.ac.in</t>
  </si>
  <si>
    <t>The Padala Charitable Trust Scholarship aims to support deserving students from economically disadvantaged backgrounds in India. The Trust focuses on providing financial assistance to students pursuing higher education, helping them overcome financial barriers to learning. Through this scholarship, the Trust seeks to empower talented youth and enable them to achieve academic success, ultimately contributing to their personal and professional development. It targets students with meritorious achievements and a genuine need for financial assistance, ensuring that they can continue their education without interruption.</t>
  </si>
  <si>
    <t>The Padala Charitable Trust Scholarship is a commendable initiative that provides financial support to students who face financial challenges but demonstrate academic excellence. This scholarship is open to students pursuing undergraduate, postgraduate, and professional courses in various fields. Applicants are selected based on both their academic merit and financial need, making it a merit-cum-means scholarship program. The scholarship covers tuition fees, books, and other essential educational expenses, aiming to relieve students and their families from the burden of educational costs. By doing so, the Padala Charitable Trust strives to create opportunities for students who, without this support, may not have been able to continue their education. The scholarship encourages students to pursue their dreams and goals, thereby enhancing their future prospects and contributing to society. Over the years, the Trust has gained recognition for its commitment to educational development and has positively impacted the lives of numerous students by offering them the opportunity to learn, grow, and succeed.</t>
  </si>
  <si>
    <t>https://www.pct-india.org/</t>
  </si>
  <si>
    <t>1.Visit the official website of Padala Charitable Trust (if available).
2.Navigate to the "Scholarship" section.
3.Download or fill out the application form available on the website.
4.Gather all required documents.
4.Submit the completed form along with the required documents either online or by post to the Trust's address (if applicable).
5.Await confirmation and further communication regarding the selection process.</t>
  </si>
  <si>
    <t>1.Completed scholarship application form
2.Passport-sized photographs
3.Income certificate or proof of family income
4.Academic transcripts or mark sheets
4.Proof of admission to the course (if applicable)
5.Bank account details of the applicant
6.Aadhaar card or other ID proof
7.Caste certificate (if applicable)</t>
  </si>
  <si>
    <t>https://www.youtube.com/channel/UCal9CsKrzTEyJ6k0-rz5g5A</t>
  </si>
  <si>
    <t>91-98663 27956</t>
  </si>
  <si>
    <t>Padala Charitable Trust,</t>
  </si>
  <si>
    <t>info@padalacharitabletrust.org</t>
  </si>
  <si>
    <t>The Post Matric (Other Than Intermediate) Scholarship for Minorities in Uttar Pradesh aims to promote educational advancement among minority communities by providing financial assistance for post-matriculation studies. This initiative supports students from Muslim, Sikh, Christian, Buddhist, and Parsi communities, ensuring that they have access to quality education without the burden of financial constraints. The scholarship covers various courses, excluding intermediate-level studies, and is designed to encourage minority students to pursue higher education. By offering this financial aid, the government seeks to uplift educational standards and foster inclusivity in the state's academic landscape.</t>
  </si>
  <si>
    <t>The Post Matric (Other Than Intermediate) Scholarship for Minorities in Uttar Pradesh is an initiative designed to provide financial support to students from minority communities who are pursuing post-matriculation education. This scholarship aims to alleviate the economic barriers that often hinder students from these communities from continuing their studies after completing their matriculation. Eligible courses include diploma programs, vocational courses, and undergraduate studies across various disciplines. The scholarship covers tuition fees, examination fees, and other related expenses, allowing students to focus on their education without the stress of financial burdens. To apply, students must meet specific criteria, including income limits and residency requirements, ensuring that the aid is directed to those who need it most. The application process is streamlined to facilitate easy access for eligible students, with a focus on transparency and efficiency. This initiative is a part of the broader effort by the Government of Uttar Pradesh to promote educational equality and social empowerment among minorities. It reflects a commitment to fostering an inclusive educational environment and encourages students to aspire to higher academic achievements. By investing in the education of minority students, the scholarship contributes to the overall development of society and helps in building a more educated workforce.</t>
  </si>
  <si>
    <t>https://scholarship.up.gov.in/</t>
  </si>
  <si>
    <t>1.Visit the official scholarship portal.
2.Register as a new user by providing the required details.
3.Log in using the credentials received via email or SMS.
4.Fill out the application form with personal and educational information.
5.Upload the necessary documents.
6.Review your application for accuracy.
7.Submit the application before the deadline.
8.Keep track of your application status through the portal.</t>
  </si>
  <si>
    <t>Passport-sized photograph
Income certificate
Caste certificate (if applicable)
Aadhar card or any valid ID proof
Previous academic records (mark sheets)
Bank account details (cancelled cheque or bank statement)
Bonafide certificate from the educational institution
Any other relevant documents as specified in the application guidelines</t>
  </si>
  <si>
    <t>https://www.youtube.com/watch?v=plzaASpoyGY&amp;ab_channel=FACTTECHSHAH</t>
  </si>
  <si>
    <t>1800 123 4567</t>
  </si>
  <si>
    <t>Department of Social Welfare, Uttar Pradesh, India</t>
  </si>
  <si>
    <t>scholarship.up@gmail.com</t>
  </si>
  <si>
    <t>The Post Matric (Other Than Intermediate) Scholarship for Other Backward Classes (OBC) in Uttar Pradesh aims to provide financial assistance to OBC students pursuing post-secondary education. This scholarship helps to alleviate the financial burdens of education, thereby encouraging students from marginalized communities to complete their studies. The initiative is part of the government’s broader effort to promote educational equity and empower OBC students. By offering monetary support, the scholarship enables beneficiaries to cover tuition fees, course materials, and other educational expenses. It plays a crucial role in enhancing the educational attainment and skill development of OBC youth, ultimately contributing to their socio-economic upliftment</t>
  </si>
  <si>
    <t>The Post Matric (Other Than Intermediate) Scholarship for OBC students in Uttar Pradesh is designed to support students who have completed their secondary education and are pursuing higher education in various fields. This scholarship is available to students enrolled in recognized post-matriculation courses across institutions, including colleges, universities, and technical institutions. The scholarship covers a range of educational expenses, including tuition fees, maintenance allowances, and other costs related to the course of study. To qualify, applicants must belong to the OBC category and meet specific income criteria, ensuring that the benefits reach those who need them the most. The scholarship aims to reduce drop-out rates among OBC students by making higher education more accessible and affordable. Eligible candidates are encouraged to apply online through the official scholarship portal, where they must fill out the application form and submit required documents. The application process is designed to be user-friendly, enabling students to easily navigate through the requirements. Upon successful verification, scholarship funds are disbursed directly to the students' accounts or to the institutions, ensuring that the support is utilized effectively for educational purposes. By fostering educational opportunities, the program seeks to empower OBC students, enhance their career prospects, and contribute to the overall development of the community.</t>
  </si>
  <si>
    <t>1.Visit the official Uttar Pradesh Scholarship Portal.
2.Click on the “Post Matric Scholarship” section.
3.Register by creating an account with your details.
4.Log in using your credentials.
5.Fill out the application form with the required information.
6.Upload the necessary documents as specified.
7.Review your application for accuracy.
8.Submit the application form.
9.Keep a copy of the submission for future reference.
10.Check the application status periodically on the portal</t>
  </si>
  <si>
    <t>1.Caste certificate (OBC)
2.Income certificate
3.Marksheet of the last qualifying examination
4.Bank account details (passbook or bank statement)
5.Aadhar card
6.Passport-sized photograph
7.Admission confirmation letter from the institution
8.Any other documents specified by the portal</t>
  </si>
  <si>
    <t>https://www.youtube.com/watch?v=examplelink</t>
  </si>
  <si>
    <t>91-522-2631361</t>
  </si>
  <si>
    <t>Directorate of Social Welfare, Government of Uttar Pradesh, 14th Floor, 5 Keshavganj, Lucknow, UP - 226001</t>
  </si>
  <si>
    <t>dhe-up@nic.in</t>
  </si>
  <si>
    <t>The Post Matric (Other than Intermediate) Scholarship for ST, SC, and General Category students in Uttar Pradesh is a government initiative aimed at providing financial support to students from marginalized communities pursuing higher education. The scholarship is designed to help cover tuition fees and other educational expenses, promoting equal opportunities in education. It targets students enrolled in professional and technical courses after the 10th grade. By alleviating financial burdens, the scholarship encourages more students to pursue higher studies and improve their socio-economic status.</t>
  </si>
  <si>
    <t>The Post Matric (Other than Intermediate) Scholarship for ST, SC, and General Category students in Uttar Pradesh aims to enhance access to higher education for students from economically disadvantaged backgrounds. This scholarship scheme is designed for those pursuing education after the 10th standard and covers a range of professional and technical courses across various institutions in Uttar Pradesh. Eligible students can receive financial assistance to cover tuition fees, examination fees, and other academic-related expenses, thus enabling them to focus on their studies without the added pressure of financial constraints. The scholarship is available to students from Scheduled Castes (SC), Scheduled Tribes (ST), and the General category, ensuring a wider reach to various sections of society. The application process typically involves online submission through the official state government portal, along with the required documentation to prove eligibility. This initiative is not only a step towards educational equity but also aims to uplift communities by encouraging higher educational attainment. The scholarship plays a crucial role in reducing dropout rates among these communities and enhancing their participation in professional fields, thereby contributing to overall socio-economic development in the state.</t>
  </si>
  <si>
    <t>1.Visit the Official Portal: Go to the Uttar Pradesh Scholarship Portal.
2.Register: Create a user account if you are a first-time applicant.
3.Log In: Use your credentials to log into the portal.
4.Fill Application Form: Complete the scholarship application form with accurate details.
5.Upload Documents: Attach required documents as specified in the application.
6.Submit Application: Review your application and submit it.
7.Track Application: Monitor your application status through the portal.</t>
  </si>
  <si>
    <t>1.Aadhar Card
2.Caste Certificate (for SC/ST candidates)
3.Income Certificate
4.Previous Year Marksheet
5.Admission Proof (for current course)
6.Bank Account Details
7.Passport-sized Photograph</t>
  </si>
  <si>
    <t>https://www.youtube.com/watch?v=VquGKfH1X1w&amp;ab_channel=McMasterUniversity</t>
  </si>
  <si>
    <t>Uttar Pradesh Social Welfare Department</t>
  </si>
  <si>
    <t>support-upscholarship@gov.in</t>
  </si>
  <si>
    <t>The Post Matric Other State Scholarship is a financial assistance program initiated by the Government of Uttar Pradesh. It aims to support students from Scheduled Tribes (ST), Scheduled Castes (SC), and General Categories pursuing post-matriculation education in institutions outside Uttar Pradesh. This scholarship covers various expenses, including tuition fees, accommodation, and other necessary academic costs. It is designed to promote higher education among marginalized communities by reducing the financial burden on students and their families. The program encourages students to pursue quality education in a diverse range of disciplines, fostering inclusive development.</t>
  </si>
  <si>
    <t>The Post Matric Other State Scholarship for ST, SC, and General Category students in Uttar Pradesh is an initiative by the state government to enhance educational opportunities for students belonging to disadvantaged backgrounds. The scholarship is specifically aimed at students who have completed their matriculation and wish to further their studies in various professional and technical courses in institutions outside the state of Uttar Pradesh. By providing financial support, the scholarship alleviates the economic challenges that many families face when sending their children to pursue higher education. The program covers essential expenses, such as tuition fees, hostel charges, and other academic-related costs, making it easier for students to focus on their studies without the constant worry of financial constraints. Eligible candidates must meet certain academic criteria and belong to the designated categories. The application process is straightforward, requiring students to submit their academic records and relevant documents to the appropriate authorities. This initiative not only promotes access to quality education but also aims to empower students from marginalized communities by equipping them with the knowledge and skills needed to succeed in their chosen fields.</t>
  </si>
  <si>
    <t>http://socialwelfareup.in/</t>
  </si>
  <si>
    <t>1.Check Eligibility: Verify eligibility criteria based on category and educational qualifications.
2.Visit the Official Website: Navigate to the Social Welfare Department's website.
3.Fill the Application Form: Complete the online application form with accurate information.
4.Upload Documents: Attach required documents as per the application guidelines.
5.Submit Application: Submit the application online before the deadline.
6.Track Application Status: Monitor the application status through the portal.</t>
  </si>
  <si>
    <t>1.Domicile certificate of Uttar Pradesh
2.Caste certificate (for ST/SC applicants)
3.Academic certificates (10th, 12th, and previous course certificates)
4.Income certificate
5.Aadhar card or other identity proof
6.Passport-sized photographs
7.Bank account details (for scholarship disbursement)</t>
  </si>
  <si>
    <t>https://www.youtube.com/results?search_query=Post+Matric+Scholarship+Uttar+Pradesh</t>
  </si>
  <si>
    <t xml:space="preserve">5th Floor, Paryatan Bhawan, 2-B, Gautam Buddha Marg, Lucknow, Uttar Pradesh.
</t>
  </si>
  <si>
    <t>socialwelfareup@gmail.com</t>
  </si>
  <si>
    <t>The Post Matric Scholarship (PMS) for OBC, SC, and ST students in Bihar is a government initiative aimed at providing financial assistance to students from these communities pursuing post-matriculation education. The scholarship supports students in various professional and technical courses, helping them to continue their education without financial constraints. It covers tuition fees, maintenance allowances, and other related expenses, ensuring that eligible students have the opportunity to achieve their academic goals. The PMS is administered by the Bihar government, which aims to enhance educational access and equity for marginalized communities.</t>
  </si>
  <si>
    <t>The Post Matric Scholarship (PMS) for OBC, SC, and ST students in Bihar is designed to promote higher education among marginalized communities by providing essential financial support. The scholarship is applicable to students who are enrolled in recognized post-matric courses, including degree, diploma, and certificate programs across various fields. This initiative not only alleviates the financial burden associated with education but also aims to improve the overall enrollment and retention rates of students from backward classes and scheduled castes/tribes. The PMS covers a range of expenses, such as tuition fees, examination fees, and maintenance allowances, ensuring that students can focus on their studies without the stress of financial insecurity. The scholarship is available for students attending government and private institutions, provided they meet the eligibility criteria set by the Bihar government. Eligible students must submit an online application along with necessary documentation to receive the scholarship. The initiative reflects the government’s commitment to fostering an inclusive education system and reducing disparities in access to quality education.</t>
  </si>
  <si>
    <t>https://state.bihar.gov.in/main/CitizenHome.html</t>
  </si>
  <si>
    <t>1.Visit the Official Website: Go to the Bihar government's scholarship portal.
2.Registration: Create an account by registering with necessary details.
3.Fill Application Form: Complete the online application form for the Post Matric Scholarship.
4.Upload Documents: Upload required documents as specified.
5.Submit Application: Review and submit the application.
6.Track Application: Monitor the status of your application through the portal.
7.Disbursement: Await scholarship approval and disbursement of funds.</t>
  </si>
  <si>
    <t>1.Income Certificate
2.Caste Certificate
3.Previous Year Mark Sheet
4.Admission Letter from the Institution
5.Bank Account Details (with IFSC code)
6.Aadhar Card Copy
7.Passport-sized Photograph</t>
  </si>
  <si>
    <t>https://www.youtube.com/watch?v=TVYc_U6ckgw&amp;ab_channel=VimIndiaOfficial</t>
  </si>
  <si>
    <t>+91-0612-221 9810</t>
  </si>
  <si>
    <t>Department of Education
Government of Bihar
Bihar Rajya Shiksha Pariyojana Samiti
Sankar Sadan, Near BSEB Office,
Patna, Bihar - 800001
India</t>
  </si>
  <si>
    <t>edubihar@gmail.com</t>
  </si>
  <si>
    <t>The Post Matric Scholarship for SC/ST/OBC students in Chhattisgarh is a government initiative aimed at promoting higher education among students from Scheduled Castes, Scheduled Tribes, and Other Backward Classes. This scholarship provides financial assistance to students enrolled in post-matriculation courses, helping to cover tuition fees, exam fees, and other educational expenses. The scheme seeks to enhance access to quality education for marginalized communities, encouraging them to pursue various academic disciplines. The scholarship is part of the government's broader commitment to social justice and educational equity.</t>
  </si>
  <si>
    <t>The Post Matric Scholarship for SC/ST/OBC students in Chhattisgarh is a crucial program implemented by the state government to facilitate the education of marginalized communities. This scholarship aims to alleviate financial burdens on students pursuing post-matriculation studies, including undergraduate, diploma, and professional courses. Eligible candidates can receive benefits that cover tuition fees, maintenance allowances, and other necessary educational expenses, ensuring that economic barriers do not hinder access to quality education. The scholarship is available for students from Scheduled Castes, Scheduled Tribes, and Other Backward Classes who have secured admission to recognized institutions. To qualify, students must meet specific academic criteria and income limits, which vary based on their category. The application process involves submitting necessary documents online through the designated portal, where applicants can track their status. By offering this scholarship, the Chhattisgarh government strives to create a more inclusive educational environment, ultimately empowering students from disadvantaged backgrounds to achieve their academic and professional goals.</t>
  </si>
  <si>
    <t>www.cg.nic.in</t>
  </si>
  <si>
    <t>1.Check Eligibility: Confirm eligibility based on caste category and income criteria.
2.Visit Official Website: Go to the Chhattisgarh government scholarship portal.
3.Register: Create an account on the portal if you are a new user.
4.Fill Application: Complete the online application form with necessary details.
5.Upload Documents: Attach required documents as per the guidelines.
6.Submit Application: Review and submit the application.
7.Track Status: Log in to check the application status and disbursement details.</t>
  </si>
  <si>
    <t>1.Caste certificate (SC/ST/OBC)
2.Income certificate
3.Aadhaar card
4.Mark sheets of previous examinations
5.Admission confirmation letter from the educational institution
6.Bank account details (cancelled cheque or passbook copy)
7.Passport-sized photographs</t>
  </si>
  <si>
    <t>https://www.youtube.com/watch?v=oj_JgNEOG-c&amp;ab_channel=InformationGroup%28IG%29</t>
  </si>
  <si>
    <t>Office of the Director, Directorate of Higher Education, Chhattisgarh, Raipur, Chhattisgarh, India.</t>
  </si>
  <si>
    <t>ednchhattisgarh@gmail.com</t>
  </si>
  <si>
    <t>The Post Matric Scholarship for Students with Disabilities is an initiative by the Government of India aimed at providing financial assistance to students with disabilities pursuing post-matriculation education. This scholarship seeks to support these students in overcoming barriers to education and encourages them to pursue higher studies. The program covers various expenses, including tuition fees, maintenance allowances, and additional costs related to education. By enhancing accessibility to education, the scholarship promotes inclusion and empowers individuals with disabilities to achieve their academic goals.</t>
  </si>
  <si>
    <t>The Post Matric Scholarship for Students with Disabilities is designed to assist individuals with disabilities who are enrolled in post-matriculation courses, providing them with the necessary financial support to pursue their academic ambitions. This scholarship encompasses a wide range of educational levels, from undergraduate to postgraduate courses, and includes various disciplines and institutions across India. The scholarship covers essential expenses, including tuition fees, maintenance allowances, and other related costs, enabling students to focus on their studies without the added financial burden. Eligibility criteria typically include having a disability certificate issued by a competent authority, as well as meeting specific income limits set by the government. Applications are generally submitted online through designated portals, with careful consideration given to the socio-economic background of applicants. The program aims not only to promote higher education among disabled students but also to enhance their overall quality of life, making education more accessible. By empowering students with disabilities, the scholarship fosters an inclusive educational environment, encouraging their participation in various fields of study and helping to bridge the gap in educational opportunities.</t>
  </si>
  <si>
    <t>https://socialjustice.gov.in/</t>
  </si>
  <si>
    <t>1.Check Eligibility: Confirm eligibility based on disability criteria and income limits.
2.Visit Official Website: Go to the Ministry of Social Justice and Empowerment website.
3.Register Online: Create an account on the scholarship portal.
4.Fill Application Form: Complete the online application form with required details.
5.Upload Documents: Attach necessary documents (disability certificate, income proof, etc.).
6.Submit Application: Submit the application before the deadline.
7.Track Application Status: Monitor the status of your application on the portal.</t>
  </si>
  <si>
    <t>1.Disability certificate
2.Income certificate
3.Academic certificates (previous qualification)
4.Bank account details
5.Passport-sized photographs
6.Aadhar card or any valid ID proof</t>
  </si>
  <si>
    <t>https://www.youtube.com/watch?v=JUbRYUtt9vg&amp;ab_channel=VimIndiaOfficial</t>
  </si>
  <si>
    <t>+91-11-2338 2821</t>
  </si>
  <si>
    <t>1st Floor, Pt. Deendayal Antyodaya Bhawan, CGO Complex, Lodhi Road, New Delhi - 110003, India.</t>
  </si>
  <si>
    <t>socialjustice@gov.in</t>
  </si>
  <si>
    <t>The Post Matric Scholarship Scheme for SC (Scheduled Caste) and OBC (Other Backward Classes) in Chandigarh aims to provide financial assistance to students from marginalized communities to pursue higher education. The scheme covers various courses after the matriculation level, including vocational courses, diploma programs, and degree courses. It is designed to reduce the financial burden on students and promote their educational aspirations. The scholarship supports tuition fees, maintenance allowances, and other essential educational expenses, facilitating access to quality education for deserving students in Chandigarh.</t>
  </si>
  <si>
    <t>The Post Matric Scholarship Scheme for SC and OBC in Chandigarh is an initiative designed to encourage and support students from marginalized communities in their pursuit of higher education. Under this scheme, students belonging to Scheduled Castes and Other Backward Classes can receive financial assistance to cover various expenses associated with their education, such as tuition fees, examination fees, and maintenance allowances. The scholarship is applicable for courses pursued after the 10th grade, including vocational training, diploma, and degree programs in recognized institutions. The primary goal of the scheme is to uplift economically disadvantaged students, enabling them to access quality education and reducing dropout rates among these communities. By providing financial support, the scheme not only alleviates the economic burden on families but also fosters educational equality and social empowerment. The application process is managed by the Department of Social Welfare, Chandigarh, and applicants are required to submit relevant documents and follow specific procedures to avail of the benefits. This initiative is crucial in promoting inclusivity in education and ensuring that every student has the opportunity to succeed academically, irrespective of their financial background.</t>
  </si>
  <si>
    <t>http://chandigarhsocialwelfare.gov.in/</t>
  </si>
  <si>
    <t>1.Check Eligibility: Verify eligibility criteria based on SC or OBC status and course enrollment.
2.Register Online: Create an account on the official website for the scholarship.
3.Fill Application Form: Complete the application form with required details.
4.Upload Documents: Attach necessary documents as per guidelines.
5.Submit Application: Submit the completed application form before the deadline.
6.Track Application Status: Monitor the application status through the portal.</t>
  </si>
  <si>
    <t>1.Caste Certificate (SC/OBC)
2.Income Certificate
3.Mark sheets of previous examinations
4.Admission proof (college/university)
5.Bank account details
6.Passport-sized photographs
7.Any other documents specified by the scholarship authority</t>
  </si>
  <si>
    <t>https://www.youtube.com/results?search_query=Post+Matric+Scholarship+Scheme+for+SC+and+OBC%2C+Chandigarh</t>
  </si>
  <si>
    <t>Department of Social Welfare, Chandigarh</t>
  </si>
  <si>
    <t>socialwelfare-chd@nic.in</t>
  </si>
  <si>
    <t>The Post Matric Scholarships Scheme for Minorities is an initiative by the Government of India aimed at providing financial assistance to students from minority communities, including Muslims, Sikhs, Christians, Buddhists, and Zoroastrians (Parsis). This scheme supports students who have completed their matriculation and are pursuing higher education in various fields. The scholarship covers tuition fees and other essential expenses to reduce the financial burden on students and encourage them to continue their studies. The scheme aims to promote educational advancement and improve the socio-economic status of minority communities.</t>
  </si>
  <si>
    <t>The Post Matric Scholarships Scheme for Minorities is designed to enhance the educational opportunities for students belonging to minority communities in India. It provides financial aid to students enrolled in post-matriculation courses, including diploma, undergraduate, and postgraduate programs across various disciplines. The scholarship covers a range of expenses, including tuition fees, maintenance allowances, and other necessary academic costs, ensuring that financial constraints do not hinder educational pursuits. The scheme targets students from economically weaker sections of minority communities, promoting higher education and fostering inclusivity in academic environments. The selection process for the scholarship is based on merit and financial need, and eligible students must apply through the designated online portal. The government collaborates with state governments and educational institutions to facilitate the smooth disbursement of funds. By supporting these students, the scheme not only aims to empower individuals but also seeks to uplift entire communities, thereby contributing to national development. The ultimate goal is to create equal opportunities for all students, ensuring that they can pursue their educational aspirations without the burden of financial barriers.</t>
  </si>
  <si>
    <t>1.Visit the National Scholarship Portal: Go to scholarships.gov.in.
2.Register: Create an account using your mobile number and email address.
3.Fill Application Form: Complete the scholarship application form with required details.
4.Upload Documents: Upload necessary documents, including income certificate and academic records.
5.Submit Application: Review and submit your application.
6.Check Status: Monitor the application status on the portal after submission.</t>
  </si>
  <si>
    <t>1.Aadhar card or any valid ID proof
2.Income certificate
3.Caste certificate (if applicable)
4.Academic certificates and marksheets
5.Bank account details (with a cancelled cheque)
6.Recent passport-sized photograph</t>
  </si>
  <si>
    <t>https://www.youtube.com/watch?v=pk3ORhTB2k4&amp;ab_channel=AKiBiNFO</t>
  </si>
  <si>
    <t>+91-11-2338 8241</t>
  </si>
  <si>
    <t>Ministry of Minority Affairs, 11th Floor, Paryavaran Bhawan, CGO Complex, Lodhi Road, New Delhi-110003</t>
  </si>
  <si>
    <t>scholarship-nsp@gov.in</t>
  </si>
  <si>
    <t>The Post Matric Scholarship Scheme for OBC Students, Madhya Pradesh is a state government initiative designed to support students from the Other Backward Classes (OBC) community in pursuing higher education. The scheme offers financial aid to students enrolled in post-secondary courses, including undergraduate, postgraduate, diploma, and professional courses in recognized institutions. It aims to reduce the financial burden on students from economically weaker sections within the OBC category and encourages them to continue their education without the stress of educational expenses. This scholarship is part of the government's broader efforts to uplift marginalized communities by improving access to quality education and fostering social and economic development.</t>
  </si>
  <si>
    <t>The Post Matric Scholarship Scheme for OBC Students in Madhya Pradesh is an inclusive program that provides financial assistance to students belonging to the Other Backward Classes (OBC) who are pursuing post-matriculation education in recognized institutions across the state. The scholarship covers various costs, including tuition fees, maintenance allowances, and exam fees, enabling students to focus on their academic and professional growth. The scheme is open to students whose family income does not exceed a specified limit, making it accessible to economically disadvantaged OBC families. Eligible candidates can apply through the Madhya Pradesh State Scholarship Portal, which streamlines the process by allowing online submissions and tracking of applications. The scheme is designed to promote education in underprivileged sections, reduce dropout rates, and create equal opportunities for students to reach their full potential. By encouraging higher education, the scholarship also helps bridge the socio-economic gap and enhances career prospects for students in the OBC category.</t>
  </si>
  <si>
    <t>https://scholarshipportal.mp.nic.in/Public/OtherSchemes/GB.aspx?ID=MTM=</t>
  </si>
  <si>
    <t>1. Visit the official Madhya Pradesh State Scholarship Portal.
2. Register as a new user or log in if already registered.
3. Fill out the scholarship application form with personal, academic, and family income details.
4. Upload the required documents, such as income and caste certificates.
5. Submit the application before the deadline and track its status online.</t>
  </si>
  <si>
    <t>1. Caste certificate (OBC).
2. Family income certificate.
3. Previous academic records (mark sheets).
4. Bank account details for scholarship disbursement.
5. Admission letter from the current educational institution.</t>
  </si>
  <si>
    <t>https://youtu.be/ni1vj50XVf4?si=PZW3U4SVr_Dbth8y</t>
  </si>
  <si>
    <t>91-755-2551414</t>
  </si>
  <si>
    <t>Directorate of Higher Education
Government of Madhya Pradesh
4th Floor, Satpura Bhawan,
Bhopal - 462004, Madhya Pradesh, India</t>
  </si>
  <si>
    <t>highereducation.mp@gmail.com</t>
  </si>
  <si>
    <t>The Post-Matric (Other Than Intermediate) Scholarship for Minorities in Uttar Pradesh is aimed at supporting students from minority communities pursuing post-matriculation courses in various disciplines. This initiative is part of the Government of India’s broader effort to enhance educational opportunities for minorities, including Muslims, Sikhs, Christians, Buddhists, and Zoroastrians. The scholarship aims to alleviate financial burdens, encouraging students to continue their education without financial hindrance. It covers a range of educational expenses, providing assistance to eligible students across the state.</t>
  </si>
  <si>
    <t>The Post-Matric (Other Than Intermediate) Scholarship for Minorities in Uttar Pradesh is designed to support students from minority communities who are pursuing various post-matriculation courses, including technical and vocational education, in recognized institutions. The scheme is administered by the Uttar Pradesh government in line with the guidelines set by the Ministry of Minority Affairs, Government of India. It aims to increase educational enrollment among minority students and enhance their access to higher education by providing financial aid. The scholarship covers tuition fees, maintenance allowances, and other essential costs associated with their studies. Eligible candidates must meet specific criteria, including family income limits and academic performance standards. The application process is straightforward, allowing students to apply online through the official scholarship portal. Successful applicants receive funds directly credited to their bank accounts, ensuring a seamless financial aid process. This scholarship not only aids students financially but also encourages them to pursue their educational aspirations, contributing to the upliftment of minority communities in the state.</t>
  </si>
  <si>
    <t>1.Eligibility Check: Ensure eligibility based on community and income criteria.
2.Registration: Register on the official scholarship portal.
3.Application Form: Fill out the online application form accurately.
4.Upload Documents: Attach required documents as specified.
5.Submit Application: Submit the application form online.
6.Track Application: Monitor application status through the portal.
7.Receive Scholarship: If selected, funds will be credited directly to your bank account.</t>
  </si>
  <si>
    <t>1.Caste Certificate
2.Income Certificate
3.Aadhar Card
4.Educational Certificates
5.Bank Account Details
6.Recent Passport-sized Photograph
7.Admission proof from the institution</t>
  </si>
  <si>
    <t>https://www.youtube.com/watch?v=UsRBJxOuZWA&amp;ab_channel=FACTTECHSHAH</t>
  </si>
  <si>
    <t>4th Floor, Satyam Tower, 7/23, Vikramaditya Marg, Lucknow, Uttar Pradesh, 226001.</t>
  </si>
  <si>
    <t>minoritywelfareup@gmail.com</t>
  </si>
  <si>
    <t>The Post-matric Scholarship for Disabled students in Maharashtra aims to provide financial assistance to students with disabilities who are pursuing post-secondary education. The scholarship supports students from economically weaker sections to help them continue their studies without financial hindrance. It covers tuition fees, examination fees, and other related expenses. The initiative promotes inclusivity and ensures that students with disabilities have access to quality education and opportunities for personal and professional growth. This scholarship is a significant step towards empowering disabled students and facilitating their academic journeys.</t>
  </si>
  <si>
    <t>The Post-matric Scholarship for Disabled in Maharashtra is a government initiative designed to enhance educational opportunities for students with disabilities. This scholarship aims to alleviate the financial burden on disabled students pursuing higher education after completing their matriculation. By providing essential financial support for tuition, examination fees, and other educational expenses, the scheme enables students to focus on their studies without the stress of economic constraints. Eligible applicants must have a recognized disability and belong to families with limited financial resources. The scholarship is applicable for various post-matric courses, including diplomas, degrees, and professional courses in recognized institutions. The application process is streamlined, allowing students to apply online through the official portal. The scholarship not only supports educational pursuits but also promotes inclusivity and equality in the education system, thereby empowering disabled individuals to achieve their academic and career goals. Through this initiative, the Maharashtra government aims to foster a more inclusive society by ensuring that all students, regardless of their physical challenges, have equal access to educational resources.</t>
  </si>
  <si>
    <t>1.Eligibility Check: Confirm eligibility based on disability and economic status.
2.Visit the Portal: Go to the official scholarship portal.
3.Register: Create an account using your details.
4.Fill Application: Complete the online application form.
5.Upload Documents: Attach necessary documents as specified.
6.Submit Application: Submit the application before the deadline.
7.Track Status: Monitor the application status through the portal</t>
  </si>
  <si>
    <t>1.Disability certificate
2.Income certificate of the family
3.Academic records (previous marksheets)
4.Admission proof from the institution
5.Aadhar card or any government-issued ID
6.Passport-sized photographs</t>
  </si>
  <si>
    <t>https://www.youtube.com/watch?v=tJFo_ebdU1A&amp;ab_channel=AKiBiNFO</t>
  </si>
  <si>
    <t>Department of Social Justice and Special Assistance, Maharashtra Government, Mantralaya, Mumbai, Maharashtra.</t>
  </si>
  <si>
    <t>scholarships@maharashtra.gov.in</t>
  </si>
  <si>
    <t>The Post-Matric Scholarship for SC/ST/OBC students in Uttarakhand is designed to support students from Scheduled Castes (SC), Scheduled Tribes (ST), and Other Backward Classes (OBC) in pursuing post-matriculation education. The scholarship aims to alleviate the financial burden on eligible students and promote higher education among marginalized communities. It covers various educational expenses, including tuition fees, maintenance allowances, and other academic costs. This initiative reflects the government's commitment to enhancing educational access and equity for underprivileged groups. Eligible students can apply through a streamlined online process to receive financial assistance for their educational endeavors.</t>
  </si>
  <si>
    <t>The Post-Matric Scholarship for SC/ST/OBC students in Uttarakhand is an essential initiative aimed at promoting educational advancement among marginalized communities. This scholarship is specifically targeted at students who belong to Scheduled Castes, Scheduled Tribes, and Other Backward Classes, providing them with the financial support necessary to pursue higher education after completing their matriculation. The scholarship covers a range of expenses, including tuition fees, maintenance allowances, and other educational costs, thereby significantly reducing the financial burden on eligible students. To apply, students must meet specific eligibility criteria, including family income limits and enrollment in recognized educational institutions. The application process is conducted online, ensuring convenience and accessibility for applicants. The Uttarakhand government is dedicated to ensuring that students from these communities can benefit from educational opportunities, thereby promoting social equity and empowerment. By facilitating access to higher education, this scholarship contributes to a more inclusive society where students can achieve their academic and professional goals without financial hindrance.
3. Official Website</t>
  </si>
  <si>
    <t>https://he.uk.gov.in/dpages/scholarship-portal</t>
  </si>
  <si>
    <t>1.Visit the Official Website: Go to the Uttarakhand Scholarship Portal.
2.Register: Create a new account by providing necessary details.
3.Login: Log in using your credentials.
4.Fill Application Form: Complete the scholarship application form with required information.
5.Upload Documents: Attach the necessary documents as specified.
6.Submit Application: Review and submit the application form.
7.Check Status: Monitor the application status through the portal.</t>
  </si>
  <si>
    <t>1.Income certificate
2.Caste certificate
3.Aadhar card or other identity proof
4.Previous academic records (mark sheets)
5.Bank account details
6.Admission proof from the educational institution</t>
  </si>
  <si>
    <t>https://www.youtube.com/watch?v=jy6DAk7mCdk&amp;ab_channel=McMasterUniversity</t>
  </si>
  <si>
    <t>Directorate of Education, 34, Pashulok, Near Rishikesh, Uttarakhand, India.</t>
  </si>
  <si>
    <t>scholarship.uk@gmail.com</t>
  </si>
  <si>
    <t>The Post-Matric Scholarship for Scheduled Tribe (ST) students in Nagaland aims to provide financial assistance to students from ST communities who are pursuing post-matriculation education. The scholarship is designed to encourage higher education among tribal students by alleviating the financial burden of tuition fees and other educational expenses. It covers various courses offered by recognized institutions, including universities, colleges, and vocational training centers. This initiative is part of the Indian government's effort to promote educational equity and social upliftment among marginalized communities.</t>
  </si>
  <si>
    <t>The Post-Matric Scholarship for Scheduled Tribe Students in Nagaland is an important initiative by the Government of India to support tribal students in their pursuit of higher education. This scholarship covers a wide range of educational programs, including undergraduate and postgraduate courses, professional training, and vocational studies. By providing financial aid, the scholarship aims to reduce the dropout rate among ST students and encourage them to complete their education. Eligible students receive assistance for tuition fees, maintenance allowances, and other essential educational expenses. The application process typically involves submitting necessary documentation to verify eligibility, including proof of ST status, educational qualifications, and family income. The scholarship not only helps students financially but also promotes the importance of education within tribal communities, ultimately contributing to their overall development. It plays a crucial role in bridging the educational gap and empowering students to pursue their career aspirations, thereby fostering social equity and inclusion.</t>
  </si>
  <si>
    <t>1.Check Eligibility: Confirm eligibility based on Scheduled Tribe status and course enrollment.
2.Visit the Official Website: Go to the Nagaland State Government Education Department or NSP.
3.Register/Login: Create an account or log in if already registered.
4.Fill Application Form: Complete the online application form with required details.
5.Upload Documents: Attach necessary documents as specified.
6.Submit Application: Review and submit the application.
7.Track Status: Monitor the application status through the portal.</t>
  </si>
  <si>
    <t>1.Proof of Scheduled Tribe certificate
2.Academic certificates (mark sheets)
3.Admission letter from the institution
4.Income certificate of the family
5.Bank account details
6.Passport-sized photographs</t>
  </si>
  <si>
    <t>https://www.youtube.com/results?search_query=Post-Matric+Scholarship+for+Schedule+Tribe+Students%2C+Nagaland</t>
  </si>
  <si>
    <t>Department of Higher Education Below Civil Secretariat Thizama Road, Kohima Nagaland</t>
  </si>
  <si>
    <t>education.nagaland@gmail.com</t>
  </si>
  <si>
    <t>The Pre and Post Matric Disability Scholarship in Uttarakhand aims to provide financial assistance to students with disabilities pursuing their education at various levels. The scholarship is designed to support students in pre-matric (up to class 10) and post-matric (class 11 and above) education. It seeks to reduce the financial burden on families of disabled students and ensure that they have equal access to education. This initiative reflects the government's commitment to inclusive education and the empowerment of persons with disabilities in the state.</t>
  </si>
  <si>
    <t>The Pre and Post Matric Disability Scholarship in Uttarakhand serves as a vital resource for students with disabilities, enabling them to pursue education without the hindrance of financial constraints. This scholarship is available for both pre-matriculation students (those studying in grades 1 to 10) and post-matriculation students (those in grades 11 and above, including college and university students). The primary objective is to promote educational attainment among disabled students, thus enhancing their future employment opportunities and quality of life. The scholarship covers various educational expenses, including tuition fees, maintenance allowances, and other incidental costs associated with their studies. To qualify, students must provide proof of their disability and meet specific income criteria. The application process is facilitated through the state government's online portal, which ensures transparency and efficiency in processing applications. Recipients of this scholarship not only benefit financially but also gain recognition of their right to education, contributing to a more inclusive society. The program aligns with national initiatives aimed at empowering persons with disabilities and ensuring they receive equitable opportunities in education.</t>
  </si>
  <si>
    <t>1.Visit the Website: Go to the Uttarakhand State Scholarship Portal.
2.Register: Create a user account on the portal.
3.Log In: Log in with your credentials.
4.Fill Application Form: Complete the scholarship application form.
5.Upload Documents: Upload the required documents.
6.Submit Application: Submit the application for review.
7.Track Status: Monitor your application status through the portal</t>
  </si>
  <si>
    <t>1.Disability certificate
2.Income certificate of the family
3.Academic certificates (previous year mark sheets)
4.Aadhaar card or other identity proof
5.Passport-sized photographs
6.Bank account details</t>
  </si>
  <si>
    <t>https://www.youtube.com/watch?v=BRylRyqlINk&amp;ab_channel=MuthootBlue</t>
  </si>
  <si>
    <t>Directorate of Education, 4th Floor, Bhatta Colony, Gairsain, Uttarakhand, India.</t>
  </si>
  <si>
    <t>scholarships.uk@gmail.com</t>
  </si>
  <si>
    <t>The Pre and Post Matric Scholarship for OBC students in Delhi is an initiative by the Government of Delhi aimed at providing financial assistance to students from Other Backward Classes (OBC) to ensure their continued education. This scholarship is designed for students pursuing education at various levels, from Class 1 to post-graduation. The program seeks to alleviate the financial burden on OBC families, encouraging higher enrollment and retention rates in schools and colleges. It covers various educational expenses, including tuition fees, maintenance allowances, and other necessary costs, depending on the level of study.</t>
  </si>
  <si>
    <t>The Pre and Post Matric Scholarship for OBC students in Delhi is a crucial educational support scheme implemented by the Delhi Government to empower students from the OBC category. Aimed at enhancing educational opportunities, this scholarship caters to a wide range of students, from those in primary education to those enrolled in postgraduate programs. The scholarship provides financial aid to cover tuition fees, maintenance costs, and additional educational expenses, thereby enabling students to pursue their studies without financial constraints. The application process is streamlined and accessible, requiring candidates to meet specific eligibility criteria, such as family income limits and educational qualifications. To qualify, students must be enrolled in recognized educational institutions in Delhi. The scholarship also emphasizes the importance of academic performance, as students are required to maintain a certain level of grades to continue receiving support. By facilitating access to quality education, the scheme aims to bridge the educational gap for OBC students and contribute to their overall socio-economic development.</t>
  </si>
  <si>
    <t>https://socialwelfare.delhi.gov.in/</t>
  </si>
  <si>
    <t>1.Check Eligibility: Ensure you meet the criteria for OBC students and are enrolled in an educational institution in Delhi.
2.Register Online: Visit the official website and register for a scholarship account.
3.Fill Application Form: Complete the scholarship application form with required details.
4.Upload Documents: Attach all necessary documents (income certificate, caste certificate, etc.).
5.Submit Application: Submit the completed application form online.
6.Track Status: Monitor the application status through the portal for updates.</t>
  </si>
  <si>
    <t>1.Caste Certificate
2.Income Certificate
3.Educational Qualification Certificates
4.Aadhaar Card or ID Proof
5.Bank Account Details
6.Recent Passport-sized Photographs
7.Admission proof from the educational institution</t>
  </si>
  <si>
    <t>https://www.youtube.com/results?search_query=Pre+and+Post+Matric+Scholarship+for+OBC+students%2C+Delhi</t>
  </si>
  <si>
    <t>+91-11-2337 1022</t>
  </si>
  <si>
    <t>5th Floor, MSO Building, I.P. Estate, New Delhi - 110002</t>
  </si>
  <si>
    <t>socialwelfare@delhi.gov.in</t>
  </si>
  <si>
    <t>The Pre and Post Matric Scholarship for Scheduled Caste (SC) students in Delhi is a government initiative aimed at supporting SC students in their educational pursuits. The scholarship is designed to provide financial assistance to students at different academic levels, from pre-matric to post-matric education. Its primary goal is to encourage SC students to continue their education by alleviating the financial burden associated with tuition fees, books, and other educational expenses. The scheme also aims to improve the educational attainment and employment prospects of SC students, promoting inclusivity and equal opportunities in education.</t>
  </si>
  <si>
    <t>The Pre and Post Matric Scholarship for SC Students in Delhi is a comprehensive scheme funded by the Government of Delhi to provide financial support for students from Scheduled Caste backgrounds. The scholarship covers a wide range of educational expenses, including tuition fees, maintenance allowances, and other necessary costs related to education. For pre-matric students, the scholarship assists those studying in classes 9 and 10, while post-matric scholarships are available for students pursuing higher education in classes 11 and 12, as well as at colleges and universities. This initiative aims to reduce dropout rates among SC students by ensuring they have the financial resources needed to continue their studies. The scholarship also includes provisions for additional support based on the student's specific needs, such as assistance for students with disabilities. To be eligible, applicants must meet specific criteria regarding family income, academic performance, and residence. The application process is typically conducted online, and the funds are disbursed directly to the students' bank accounts. By providing this financial aid, the scheme not only supports individual students but also contributes to the overall upliftment of the SC community by enhancing educational opportunities.</t>
  </si>
  <si>
    <t>1.Check Eligibility: Confirm eligibility based on SC status and income criteria.
2.Register Online: Visit the official website and register for an account.
3.Fill Application: Complete the scholarship application form with the required details.
4.Upload Documents: Attach all necessary documents as specified.
5.Submit Application: Review the application and submit it online.
6.Track Application: Monitor application status through the portal.
7.Receive Scholarship: Funds will be disbursed to the student’s bank account if selected.</t>
  </si>
  <si>
    <t>1.Caste Certificate
2.Income Certificate
3.Aadhar Card or any government-issued ID
4.Educational certificates and mark sheets
5.Bank account details
6.Passport-sized photographs</t>
  </si>
  <si>
    <t>https://www.youtube.com/watch?v=kcCM5ZtBltE&amp;ab_channel=McMasterUniversity</t>
  </si>
  <si>
    <t>+91-11-2337 0928</t>
  </si>
  <si>
    <t>Department of Welfare of SC/ST, Government of NCT of Delhi, 9th Level, B-wing, Delhi Secretariat, I.P. Estate, New Delhi - 110002, India</t>
  </si>
  <si>
    <t>edudel@nic.in</t>
  </si>
  <si>
    <t>The PRERANA Post Matric Scholarship is a scheme by the Government of Odisha to provide financial assistance to students belonging to the ST, SC, OBC, SEBC, and EBC communities. This scholarship is aimed at reducing the financial burden on students pursuing higher education and ensuring that no eligible student is deprived of education due to financial constraints. It supports students in post-matriculation or post-secondary courses, ranging from Class 11 up to Ph.D. studies. The scheme covers tuition fees, maintenance allowances, and other relevant expenses.</t>
  </si>
  <si>
    <t>The PRERANA Post Matric Scholarship is designed for students from socially and economically disadvantaged communities in Odisha, specifically for those belonging to ST, SC, OBC, SEBC, and EBC categories. The primary objective is to enable these students to continue their higher education without the barrier of financial difficulties. The scholarship is available for students enrolled in recognized post-secondary or higher education courses, including technical and vocational courses. Applicants must meet specific eligibility criteria, including family income limits, to qualify for this scheme. The scholarship covers tuition fees, examination fees, and a maintenance allowance to support living expenses. The scholarship is distributed based on merit and income, with priority given to the most economically backward students. The scheme aims to promote educational inclusion and bridge the gap in educational attainment for marginalized communities. Applications are submitted online through the official PRERANA portal.</t>
  </si>
  <si>
    <t>http://mpsc.mp.nic.in/scholarships</t>
  </si>
  <si>
    <t>1.Visit the official PRERANA scholarship portal.
2.Register as a new user with basic details.
3.Log in using the registered credentials.
4.Fill in the scholarship application form with personal, academic, and income details.
5.Upload the required documents.
6.Submit the application form online.
7.Take a printout of the application for future reference.</t>
  </si>
  <si>
    <t>1.Recent passport-sized photograph
2.Aadhaar Card
3.Income certificate issued by a competent authority
4.Caste certificate (ST/SC/OBC/SEBC/EBC)
5.Last qualifying exam mark sheet
6.Bonafide certificate from the current educational institution
7.Residential certificate
8.Bank account details (with IFSC code)
9.Disability certificate (if applicable)</t>
  </si>
  <si>
    <t>https://www.youtube.com/watch?v=_dos-9FU3gQ&amp;ab_channel=NijuktiOdisha</t>
  </si>
  <si>
    <t>0674-2501212</t>
  </si>
  <si>
    <t>Directorate of ST &amp; SC Development Department,
Government of Odisha,
Bhubaneswar, Odisha, India.</t>
  </si>
  <si>
    <t>stscdev@gmail.com</t>
  </si>
  <si>
    <t>The PRERANA Post Matric Scholarship is an initiative by the Government of Odisha aimed at providing financial assistance to students from Scheduled Tribes (ST), Scheduled Castes (SC), Other Backward Classes (OBC), Socially and Educationally Backward Classes (SEBC), and Economically Backward Classes (EBC). This scholarship is designed to ensure that students from marginalized communities can pursue higher education without financial constraints. The scholarship covers educational expenses like tuition fees, maintenance allowances, and other related costs. It encourages students to complete their higher education and become self-reliant.</t>
  </si>
  <si>
    <t>The PRERANA Post Matric Scholarship for ST/SC/OBC/SEBC/EBC Communities, Odisha, is a state-run program aimed at promoting higher education among socially and economically disadvantaged communities. The scholarship is offered to students who have passed the matriculation or equivalent examination and are pursuing post-matriculation courses in recognized institutions. Financial aid is provided in the form of tuition fee reimbursement, maintenance allowances, and additional financial support for books, stationery, and other study materials. Eligible students must be residents of Odisha and belong to one of the targeted communities. The selection is based on merit and the financial status of the applicant's family, ensuring that only those genuinely in need benefit from this program. The scholarship aims to reduce dropout rates among marginalized communities and ensure equitable access to higher education, particularly for those from rural and underprivileged backgrounds. It also helps bridge the gap between different social strata by providing a platform for students to pursue professional and technical courses.</t>
  </si>
  <si>
    <t>https://scholarship.odisha.gov.in/website/home</t>
  </si>
  <si>
    <t>1.Visit the official PRERANA Scholarship Portal.
2.Register as a new user by providing basic details.
3.Log in using the credentials provided.
4.Complete the application form with personal, academic, and bank details.
5.Upload the required documents.
6.Submit the application form and note down the application number for future reference.</t>
  </si>
  <si>
    <t>1.Aadhaar Card
2.Caste Certificate (ST/SC/OBC/SEBC/EBC)
3.Income Certificate issued by a competent authority
4.Marksheet of the last qualifying examination
5.Domicile Certificate
6.Bank account details with the IFSC code
6.Residential certificate
7.Passport-size photograph</t>
  </si>
  <si>
    <t>https://www.youtube.com/watch?v=8symE5nq418&amp;ab_channel=AdvanceTechOdia</t>
  </si>
  <si>
    <t>91-674-2391780</t>
  </si>
  <si>
    <t>Directorate of SC &amp; ST Development Department, Odisha</t>
  </si>
  <si>
    <t xml:space="preserve">sstdevelopment@odisha.gov.in
</t>
  </si>
  <si>
    <t>The Prime Minister Special Scholarship Scheme (PMSSS) was launched by the Government of India to support the educational aspirations of students from Jammu and Kashmir (J&amp;K). The scheme aims to enhance their access to higher education by providing financial assistance for tuition fees, hostel fees, and other expenses. It focuses on encouraging J&amp;K students to pursue undergraduate courses outside their state, in recognized institutions across the country, thereby facilitating their integration into the national mainstream. PMSSS is implemented by the All India Council for Technical Education (AICTE).</t>
  </si>
  <si>
    <t>The Prime Minister Special Scholarship Scheme (PMSSS) for J&amp;K students is designed to assist economically disadvantaged students by providing them scholarships to study in various undergraduate courses across India. The scheme covers tuition fees, maintenance allowances, and other financial support, allowing students to pursue degrees in Engineering, Medicine, General Education, and more. The selection is merit-based, and students are offered admission to recognized institutions under AICTE guidelines. The initiative was introduced to promote academic excellence and create opportunities for J&amp;K students to access education outside their region. The scheme also includes various measures to ensure students are guided through the process, including online applications, counseling sessions, and seat allocation based on merit and preferences. The scholarships have a cap on the number of awards, and students must meet eligibility criteria such as domicile, qualifying exams, and family income thresholds to qualify.</t>
  </si>
  <si>
    <t>https://www.aicte-india.org/bureaus/jk</t>
  </si>
  <si>
    <t>1.Visit the official AICTE website for PMSSS.
2.Register online as a new user.
3.Fill in the application form with personal, academic, and other relevant details.
4.Upload the required documents.
5.Participate in the online counseling process.
6.Choose and confirm your preferred institutions.
7.Await the seat allocation result.</t>
  </si>
  <si>
    <t>1.Domicile certificate of Jammu &amp; Kashmir or Ladakh
2.Class 12th marksheet
3.Income certificate of the family
4.Aadhaar card or other government ID proof
5.Bank account details of the student
6.Recent passport-size photographs
7.Proof of admission (once allocated a seat)</t>
  </si>
  <si>
    <t>https://www.youtube.com/watch?v=cWWbMDURo5Y&amp;ab_channel=JKSTUDYMATERIALS</t>
  </si>
  <si>
    <t>011-29581000</t>
  </si>
  <si>
    <t>All India Council for Technical Education
Nelson Mandela Marg, Vasant Kunj, New Delhi-110070</t>
  </si>
  <si>
    <t>jkadmission2020@aicte-india.org</t>
  </si>
  <si>
    <t>The Prime Minister’s Research Fellowship (PMRF) is a prestigious initiative launched by the Government of India to enhance the research culture in the country. It aims to attract the best and brightest minds to pursue doctoral research in cutting-edge science and technology. The fellowship provides significant financial support and a platform for research scholars to engage in innovative projects that can contribute to national development. By fostering an environment of excellence in research, the PMRF seeks to develop a pool of skilled researchers who can contribute to the global scientific community.</t>
  </si>
  <si>
    <t>The PMRF is designed for students pursuing Ph.D. programs in various fields of science, engineering, and technology at selected institutions across India. It offers a monthly stipend along with additional financial support for research-related expenses, such as travel, equipment, and conference participation. The fellowship is awarded based on academic merit, research proposals, and potential impact. The PMRF aims to encourage interdisciplinary research and collaboration, aligning with national priorities and global challenges. Scholars are expected to conduct high-quality research and publish their findings in reputable journals. The fellowship also provides opportunities for mentorship and networking with leading researchers in their respective fields.</t>
  </si>
  <si>
    <t>https://www.pmrf.in/</t>
  </si>
  <si>
    <t>1. Visit the Official Website: Go to the PMRF website.
2. Check Eligibility: Review the eligibility criteria for the fellowship.
3. Prepare Research Proposal: Draft a detailed research proposal aligned with national priorities.
4. Apply Online: Fill out the application form available on the PMRF portal.
5. Upload Required Documents: Attach necessary documents, including academic records and the research proposal.
6. Submit Your Application: Review all details and submit your application before the deadline.
7. Check Application Status: Monitor your email or the portal for updates regarding your application status.</t>
  </si>
  <si>
    <t>1. Academic Transcripts: From previous degrees and programs.
2. Research Proposal: Detailed outline of the proposed research work.
3. Curriculum Vitae (CV): Summary of academic and research experience.
4. Recommendation Letters: From academic or research mentors.
5. Identity Proof: Aadhar card or any government-issued ID.</t>
  </si>
  <si>
    <t>https://www.youtube.com/watch?v=PsJ802oBHwQ</t>
  </si>
  <si>
    <t>91 11 2659 8040</t>
  </si>
  <si>
    <t>Department of Science and Technology,
Technology Bhavan,
New Mehrauli Road,
New Delhi - 110016,
India.</t>
  </si>
  <si>
    <t>pmrf@dost.gov.in</t>
  </si>
  <si>
    <t>The Prime Minister’s Scholarship Scheme is an initiative by the Government of India aimed at providing financial assistance to the dependents of personnel from the Central Armed Police Forces (CAPFs) and the Assam Rifles. This scholarship is designed to encourage higher education among the children of these brave forces, recognizing their sacrifices and contributions to national security. The scheme aims to support deserving students in pursuing various professional and technical courses at recognized institutions.</t>
  </si>
  <si>
    <t>Under this scholarship scheme, students who are the dependents of CAPF personnel and Assam Rifles are eligible to receive financial aid to pursue undergraduate and postgraduate courses. The scholarship covers a range of disciplines, including engineering, medicine, management, and more. It provides a fixed amount of financial assistance to help cover tuition fees and other related educational expenses. The selection of candidates is based on academic merit, and the scheme encourages students to excel in their studies while also promoting the overall well-being and educational upliftment of families associated with the armed forces. The scholarship not only relieves the financial burden on these families but also motivates the youth to contribute positively to society through education.</t>
  </si>
  <si>
    <t>https://www.mha.gov.in/sites/default/files/PIIPrimeMinister%27sScholarshipScheme25052018.pdf</t>
  </si>
  <si>
    <t>1. Visit the Official Website: Go to the PM Scholarship Scheme page on the Ministry of Home Affairs website.
2. Check Eligibility: Review the eligibility criteria for the scholarship.
3. Register on the Portal: Create an account on the scholarship portal if required.
4. Complete the Application Form: Fill out the application with necessary personal and academic details.
5. Upload Required Documents: Attach necessary documents such as academic certificates, proof of dependency on CAPF personnel, and identity proof.
6. Submit Your Application: Review all details and submit your application before the deadline.
7. Check Application Status: Monitor your email or the portal for updates regarding your application status.</t>
  </si>
  <si>
    <t>1. Academic Transcripts: Previous examination results and certificates.
2. Proof of Dependency: Document verifying the relationship with 3. the CAPF personnel or Assam Rifles.
4. Identity Proof: Aadhar card or any government-issued ID.
5. Income Certificate: To establish financial need, if applicable.</t>
  </si>
  <si>
    <t>https://www.youtube.com/watch?v=2PlgyAUgGgg</t>
  </si>
  <si>
    <t>91 11 2309 1210</t>
  </si>
  <si>
    <t>Ministry of Home Affairs,
North Block,
Central Secretariat,
New Delhi - 110001,
India.</t>
  </si>
  <si>
    <t>pmscholarship-mha@nic.in</t>
  </si>
  <si>
    <t>The R.D. Sethna Loan Scholarship is a financial aid initiative aimed at supporting students in India who require assistance to pursue higher education. Established in honor of R.D. Sethna, this scholarship focuses on providing loan facilities to meritorious students from economically disadvantaged backgrounds. The objective is to enable deserving candidates to access quality education without being hindered by financial constraints, thus empowering them to achieve their academic and professional goals.</t>
  </si>
  <si>
    <t>The R.D. Sethna Loan Scholarship is designed for students pursuing various undergraduate and postgraduate programs across different fields of study. Unlike traditional scholarships that provide grants, this initiative offers loan assistance, which students can repay after completing their education. The scholarship considers both academic performance and financial need, ensuring that the assistance reaches those who need it most. Students interested in the scholarship must meet specific eligibility criteria and submit a detailed application that includes their educational background, family income, and purpose of seeking financial aid. The program aims to promote higher education by providing financial support while fostering a sense of responsibility among students regarding their educational expenses.</t>
  </si>
  <si>
    <t>https://www.rdsethnascholarships.org/</t>
  </si>
  <si>
    <t>1. Research the Scholarship: Look for specific eligibility criteria and terms on the official website or relevant scholarship platforms.
2. Prepare Required Documents: Gather academic records, income certificates, and any other necessary documentation.
3. Complete the Application Form: Fill out the application with accurate details regarding your academic and financial background.
4. Submit Your Application: Ensure all documents are attached and submit your application before the deadline.
5. Monitor Application Status: Keep track of any updates regarding your application status through the scholarship portal or official communication channels.</t>
  </si>
  <si>
    <t>1. Academic Records: Transcripts and certificates from previous educational institutions.
2. Income Certificate: Proof of family income to establish financial need.
3. Identity Proof: Aadhar card or any government-issued ID.
4. Loan Repayment Plan: A brief statement on how you plan to repay the loan after completing your education.</t>
  </si>
  <si>
    <t>https://www.youtube.com/shorts/zba_dMgeT9Q</t>
  </si>
  <si>
    <t>91 22 2200 1834</t>
  </si>
  <si>
    <t>R.D. Sethna Scholarship Committee</t>
  </si>
  <si>
    <t>rdsethna.scholarship@gmail.com</t>
  </si>
  <si>
    <t>The Rajarshi Shahu Maharaj Scholarship is an initiative by the Government of Maharashtra aimed at supporting meritorious students from economically weaker sections, specifically targeting the Other Backward Classes (OBC), VJNT (Vimukta Jati and Nomadic Tribes), and SBC (Special Backward Classes). The scholarship's objective is to ensure that students from these communities can pursue higher education without financial barriers.</t>
  </si>
  <si>
    <t>The Rajarshi Shahu Maharaj Scholarship is an initiative by the Government of Maharashtra to financially support students from Other Backward Classes (OBC), Vimukta Jati and Nomadic Tribes (VJNT), and Special Backward Classes (SBC). The scholarship aims to empower economically disadvantaged students to pursue post-matric education, promoting higher studies and professional courses without financial burden.
To be eligible, students must be residents of Maharashtra, belong to OBC, VJNT, or SBC categories, and have a family income below INR 8 lakhs annually. Applicants must also have successfully passed their previous qualifying examination and be enrolled in a recognized higher educational institution.</t>
  </si>
  <si>
    <t>https://mahadbt.maharashtra.gov.in</t>
  </si>
  <si>
    <t>1. Visit the Official Website.
2. Go to the MahaDBT Portal.
3. Register/Login.
4. Select the Scholarship.
5. Fill in the Application Form.
6. Upload Required Documents.
7. Review the Application.
8. Submit the Application.
9. Take a Printout.
10. Track Application Status.</t>
  </si>
  <si>
    <t>1. Mark sheet from 10th (S.S.C) and onwards
2. Domicile certificate of Maharashtra State
3. Undertaking that no more than two beneficiaries from your family are receiving the scholarship in the current year
4. CAP related document
5. Proof of biometric attendance (Interface UIDAI)</t>
  </si>
  <si>
    <t>https://www.youtube.com/watch?v=5RsWjCJ9D9w</t>
  </si>
  <si>
    <t>91-022-49150800</t>
  </si>
  <si>
    <t>Higher and Technical Education ,Maharashtra State ,Scheme implemented by Technical Education,M.S , Mumbai</t>
  </si>
  <si>
    <t>mahadbt.mahait@gmail.com</t>
  </si>
  <si>
    <t>The Rajasthan Yuva Vikas Prerak Internship Program (RYVP) is an initiative by the Government of Rajasthan aimed at engaging young professionals in various development projects across the state. The program recruits dynamic individuals, referred to as "Preraks," to support and contribute to the planning, implementation, and monitoring of development initiatives under different state government schemes.</t>
  </si>
  <si>
    <t>The Rajasthan Yuva Vikas Prerak Internship Program (RYVP) is an initiative by the Government of Rajasthan designed to involve talented young professionals in the state’s development projects and governance initiatives. The program recruits dynamic individuals, called Preraks, to work closely with district administrations, aiding in the implementation, monitoring, and evaluation of various government schemes. It provides hands-on experience in public policy and governance, offering graduates and postgraduates from reputed institutions an opportunity to contribute to social development at the grassroots level. The internship typically lasts for one year, with the possibility of extension based on performance. Preraks are responsible for data collection, policy research, and helping improve the delivery of public services. The program provides a monthly stipend and valuable exposure to real-world challenges in governance. By fostering collaboration between interns and government officials, the RYVP helps improve the effectiveness of public services while nurturing future leaders in the social sector and public administration.</t>
  </si>
  <si>
    <t>https://ryvp.rajasthan.gov.in/</t>
  </si>
  <si>
    <t>1. Register on the Rajasthan SSO portal
2. Select Citizen and choose your registration method
3. Provide the required details and fill out the application
4. If you are already registered, log in with your ID and password
5. Find the link to apply for the RYVP internship program
6. Complete the remaining application process and submit it</t>
  </si>
  <si>
    <t>1. Resume/Curriculum Vitae 
2. Educational Certificates 
3. Identity Proof 
4. Address Proof 
5. Caste Certificate 
6. Experience Certificates 
7. Recommendation Letters 
8. Statement of Purpose 
9. Recent Passport-sized Photograph
10. Other Relevant Certificates</t>
  </si>
  <si>
    <t>https://www.youtube.com/watch?v=WLi-sBe7My0</t>
  </si>
  <si>
    <t>91-1800-180-6127</t>
  </si>
  <si>
    <t>Vigyan Bhawan,
Jawahar Lal Nehru Marg,
Jaipur - 302004, Rajasthan, India</t>
  </si>
  <si>
    <t>youthaffairs@rajasthan.gov.in</t>
  </si>
  <si>
    <t>The Ramanujan Fellowship is a prestigious fellowship scheme initiated by the Science and Engineering Research Board (SERB), which is a statutory body under the Department of Science and Technology (DST), Government of India. It is designed to attract highly accomplished Indian scientists and engineers from abroad (or those currently working in India) to take up scientific research positions in India. This fellowship aims to reverse the brain drain by encouraging these experts to return and work in Indian academic and research institutions.</t>
  </si>
  <si>
    <t>The Ramanujan Fellowship, offered by the Science and Engineering Research Board (SERB) under the Department of Science and Technology, Government of India, is aimed at attracting outstanding Indian scientists and engineers to return to India for research positions. The fellowship is open to individuals below the age of 40 with a Ph.D. in Science or Engineering and a proven track record of excellence in research, particularly those with international experience. It provides a monthly fellowship of INR 1,35,000 along with a research grant of INR 7,00,000 annually and institutional overheads. The fellowship is awarded for a period of 5 years and allows the recipients to work in any Indian research institution of their choice. The program aims to reverse brain drain, strengthen India’s scientific community, and foster high-level research, driving innovation and growth in the country’s scientific and technological domains.</t>
  </si>
  <si>
    <t>https://serb.gov.in</t>
  </si>
  <si>
    <t>1. Visit the official SERB website: serb.gov.in.
2. Navigate to the "Schemes" or "Fellowship" section.
3. Read eligibility criteria and guidelines.
4. Create an account (if required).
5. Fill out the online application form.
6. Gather and upload necessary documents.
7. Review application for accuracy.
8. Submit the application before the deadline.
9. Check for confirmation email/notification.
10. Follow up on application status.</t>
  </si>
  <si>
    <t xml:space="preserve">1. Curriculum Vitae (CV)
2. Research Proposal
3.Academic Certificates
4. PhD Certificate
5. Identity Proof
6. Recommendation Letters
7. No Objection Certificate (NOC)
8. Publication List
9. Experience Certificates
10. Proof of Age
</t>
  </si>
  <si>
    <t>https://www.youtube.com/watch?v=5VI2H5-XfLs</t>
  </si>
  <si>
    <t>91-2659-2727</t>
  </si>
  <si>
    <t>Science and Engineering Research Board (SERB)
5th Floor, Vasant Square Mall,
Vasant Kunj, New Delhi - 110070,
India.</t>
  </si>
  <si>
    <t>The RGIPT M. Tech Fellowship is a financial support initiative offered by the Rajiv Gandhi Institute of Petroleum Technology (RGIPT), located in Assam, India. This fellowship is designed to encourage and assist students pursuing a Master of Technology (M. Tech) degree in various fields related to petroleum and energy.</t>
  </si>
  <si>
    <t>The RGIPT M. Tech Fellowship is a financial support initiative offered by the Rajiv Gandhi Institute of Petroleum Technology (RGIPT) for students pursuing a Master of Technology (M. Tech) in petroleum and energy-related disciplines. Designed to alleviate financial burdens, the fellowship provides a monthly stipend to eligible students, helping to cover living expenses throughout the two-year program. Applicants must hold a relevant bachelor's degree and gain admission to the M. Tech program at RGIPT. The selection process considers academic merit and entrance exam scores. Besides financial assistance, the fellowship offers opportunities for internships and research projects, allowing students to gain practical experience in the field. By fostering advanced education and innovation in the petroleum and energy sectors, the RGIPT M. Tech Fellowship contributes to the development of skilled professionals, ensuring a robust workforce for these critical industries.</t>
  </si>
  <si>
    <t>https://www.rgipt.ac.in</t>
  </si>
  <si>
    <t>1. Visit the official RGIPT website: rgipt.ac.in.
2. Navigate to the "Admissions" or "Fellowship" section.
3. Read eligibility criteria and guidelines.
4. Create an account (if required).
5. Fill out the online application form.
6. Gather and upload necessary documents.
7. Review application for accuracy.
8. Submit the application before the deadline.
9. Check for confirmation email/notification.
10. Follow up on application status.</t>
  </si>
  <si>
    <t>1. Completed Application Form
2. Curriculum Vitae (CV)
3. Academic Transcripts
4. Degree Certificate
5. Research Proposal
6. Identity Proof
7. Recommendation Letters
8. Statement of Purpose
9. Experience Certificates
10. Proof of Age</t>
  </si>
  <si>
    <t>https://www.youtube.com/watch?v=c4yUqrbAWKo</t>
  </si>
  <si>
    <t>91-5272- 240 066</t>
  </si>
  <si>
    <t>Rajiv Gandhi Institute of Petroleum Technology (RGIPT)
Banda, Uttar Pradesh - 210 201
India</t>
  </si>
  <si>
    <t>info@rgipt.ac.in</t>
  </si>
  <si>
    <t>Rubber Technology Junior Research Fellowship, IIT Kharagpur</t>
  </si>
  <si>
    <t>The Rubber Technology Junior Research Fellowship at IIT Kharagpur is a specialized fellowship designed to support research in the field of rubber technology. This fellowship aims to attract talented students and researchers interested in pursuing advanced studies and research in rubber science, engineering, and related areas.</t>
  </si>
  <si>
    <t>The Rubber Technology Junior Research Fellowship at IIT Kharagpur is designed to promote advanced research in the field of rubber technology and its applications. This fellowship supports talented individuals pursuing research in areas such as material properties, processing techniques, and sustainability in rubber production. Eligible candidates typically hold a Master’s degree in Rubber Technology, Polymer Science, Chemical Engineering, or related disciplines. The fellowship provides a monthly stipend to assist with living expenses for a duration that usually lasts up to two years, with possible extensions based on research progress. Applicants are selected based on their academic performance, the quality of their research proposals, and interviews. By offering financial support and access to cutting-edge resources, the Rubber Technology Junior Research Fellowship aims to foster innovation and develop skilled professionals in the rubber industry, contributing significantly to advancements in this vital sector.</t>
  </si>
  <si>
    <t>www.iitkgp.ac.in</t>
  </si>
  <si>
    <t>1. Visit the IIT Kharagpur ERP portal or the dedicated application link.
2. Sign up and verify your email.
3. Log in and complete your profile (upload necessary documents like ID proof, photos, and signature).
4. Click on the "Apply Now" button for the fellowship application.
5. Submit any additional documents as specified in the application guidelines.</t>
  </si>
  <si>
    <t>1. Filled Application Form
2. Resume/Curriculum Vitae (CV)
3. GATE Scorecard (if applicable)
4. Academic Certificates
5. Experience Certificates (if applicable)
6. Identity Proof
7. Passport-sized Photographs
8. Recommendation Letters (if specified)
9. Research Proposal/Statement of Purpose (if required)</t>
  </si>
  <si>
    <t>https://www.youtube.com/watch?v=ZhtOf-pnSn4</t>
  </si>
  <si>
    <t>91-3222-255221</t>
  </si>
  <si>
    <t>Administrative Officer (Projects) Sponsored Research and Industrial Consultancy (SRIC), Indian Institute of Technology, Kharagpur, West Bengal - 721302, India</t>
  </si>
  <si>
    <t>rubbertechnology2018@gmail.com</t>
  </si>
  <si>
    <t>The RWTH International Academy – Women in Engineering Scholarship is an initiative aimed at promoting gender equality in engineering and technical fields by providing financial support to female students pursuing postgraduate studies at RWTH Aachen University in Germany. This scholarship is designed to encourage talented women from around the world to further their education in engineering disciplines and to contribute to the advancement of women in STEM (Science, Technology, Engineering, and Mathematics).</t>
  </si>
  <si>
    <t>The RWTH International Academy – Women in Engineering Scholarship is a prestigious initiative aimed at promoting gender diversity in engineering fields by supporting talented female students at RWTH Aachen University in Germany. This scholarship is designed for women pursuing postgraduate studies in various engineering disciplines, encouraging them to excel in a traditionally male-dominated field. Eligible applicants must have a strong academic background and demonstrate a commitment to their studies and future careers in engineering. The scholarship provides financial assistance to help cover tuition fees and living expenses, thus alleviating the financial burden on recipients. By fostering an inclusive academic environment and empowering women through education, the RWTH International Academy aims to inspire the next generation of female engineers, ultimately contributing to greater gender equality in STEM (Science, Technology, Engineering, and Mathematics) sectors.</t>
  </si>
  <si>
    <t>https://www.academy.rwth-aachen.de/en/</t>
  </si>
  <si>
    <t>1. Visit RWTH Application Portal and create an account.
2. Select Your Master’s Program related to engineering.
3. Prepare Required Documents like your motivation letter, degree certificates, and proof of work experience.
4. Submit Program Application with all required documents via the portal.
5. Apply for Scholarship within the same portal application.
6. Submit by Deadline.</t>
  </si>
  <si>
    <t>1. Scholarship Motivation Letter
2. Bachelor's Degree Certificate
3. Academic Transcripts
4. Proof of Professional Experience
5. Curriculum Vitae (CV)
6. English Language Proficiency Proof</t>
  </si>
  <si>
    <t>https://www.youtube.com/watch?v=Nu6Uki7c278</t>
  </si>
  <si>
    <t>49 (0) 241 - 8099367</t>
  </si>
  <si>
    <t>RWTH International Academy gGmbH
Campus-Boulevard 30
D-52074 Aachen, Germany</t>
  </si>
  <si>
    <t>info@academy.rwth-aachen.de</t>
  </si>
  <si>
    <t>The Ryan Merit-cum-Means Scholarship is a financial assistance program designed to support deserving students in India, particularly those from economically disadvantaged backgrounds. Established by the Ryan International Group of Institutions, this scholarship aims to promote educational access and empower students to achieve their academic goals while alleviating the financial burden associated with higher education.</t>
  </si>
  <si>
    <t>The Ryan Merit-cum-Means Scholarship is a financial assistance program designed to support deserving students in India, particularly those from economically disadvantaged backgrounds. Offered by the Ryan International Group of Institutions, this scholarship aims to promote academic excellence and accessibility to quality education. It is available for students across various levels of education, including school and higher education institutions. Eligible candidates must demonstrate both academic merit and financial need, ensuring that support is directed toward those who require it the most. The application process typically involves submitting an online application form along with necessary documents, such as academic records and income proof. By providing financial support, the Ryan Merit-cum-Means Scholarship encourages students to pursue their educational aspirations and helps alleviate the financial burden associated with higher education, ultimately fostering a more inclusive academic environment.</t>
  </si>
  <si>
    <t>https://scholars.olympiadsuccess.com/</t>
  </si>
  <si>
    <t>1. Visit the Scholarship Page: Go to the Buddy4Study website.
2. Create an Account: Register on Buddy4Study if you don’t have an account.
3. Log In: Sign in to your account.
4. Fill Out the Application Form: Provide personal and financial details, and upload required documents (academic certificates, income proof).
5. Write a Personal Statement: If needed, explain your need for the scholarship.
6. Review and Submit: Check your details and submit the application.
7. Follow Up: Wait for confirmation or further updates via email.</t>
  </si>
  <si>
    <t>1. Academic Certificates: Proof of previous educational qualifications (like report cards or mark sheets).
2. Income Proof: Documents demonstrating family income, such as salary slips, income tax returns, or affidavits.
3. Identity Proof: A government-issued ID (like Aadhaar card, passport, etc.).
4. Recent Passport-sized Photographs: Usually required for identification purposes.
5. Bank Account Details: Information for disbursement of the scholarship amount.</t>
  </si>
  <si>
    <t>https://www.youtube.com/watch?v=P5IiGSDU1ew</t>
  </si>
  <si>
    <t>91-9582208181</t>
  </si>
  <si>
    <t>Buddy4Study India Pvt. Ltd.
G-19, 1st Floor, Shankar Market,
Connaught Place,
New Delhi - 110001, India.</t>
  </si>
  <si>
    <t>support@buddy4study.com</t>
  </si>
  <si>
    <t>The S.N. Bose Scholars Program is a prestigious scholarship initiative designed to promote academic and research excellence among students in the field of science and technology. Named after the renowned Indian physicist Satyendra Nath Bose, the program aims to foster international collaboration and enhance research opportunities for students pursuing advanced studies.</t>
  </si>
  <si>
    <t>The S.N. Bose Scholars Program is a prestigious initiative aimed at enhancing research opportunities for Indian students in the fields of science and engineering. Named after the eminent Indian physicist Satyendra Nath Bose, the program facilitates academic collaboration between Indian and international institutions. It primarily targets undergraduate and graduate students, providing them with the chance to engage in research projects at esteemed universities abroad, particularly in the United States. The program covers various disciplines, encouraging innovative thinking and cross-cultural exchange. Selected scholars receive financial support to cover travel expenses, living stipends, and research-related costs. Through this initiative, the S.N. Bose Scholars Program aims to empower the next generation of scientists and engineers in India, fostering a global perspective in research while contributing significantly to the advancement of science and technology.</t>
  </si>
  <si>
    <t>https://iusstf.org/</t>
  </si>
  <si>
    <t>1. Visit the Official Website: Go to the S.N. Bose Scholars Program page.
2. Check Eligibility: Review the eligibility criteria for applicants from both India and the U.S.
3. Prepare Application Materials: Gather required documents, including academic transcripts and letters of recommendation.
4. Fill Out the Application Form: Complete the online application form with accurate details.
5. Submit Application: Submit your application before the deadline and keep an eye out for confirmation emails.
6. Prepare for Interviews: If shortlisted, be ready for interviews or further evaluations.</t>
  </si>
  <si>
    <t>1. Academic Transcripts
2. Letters of Recommendation (typically 2)
3. Statement of Purpose or Personal Statement
4. Resume/Curriculum Vitae
5. Passport Copy (for international travel)
6. Any additional documents specified in the application instructions</t>
  </si>
  <si>
    <t>https://www.youtube.com/watch?v=uPY_uqYhWI8</t>
  </si>
  <si>
    <t>011-42691712</t>
  </si>
  <si>
    <t>S.N. Bose Scholars Program, 1077 Rte 21, Suite B, E. Windsor, NJ 08520, USA</t>
  </si>
  <si>
    <t>info@bosescholars.com</t>
  </si>
  <si>
    <t>The Sahitya Akademi Yuva Puraskar is an esteemed literary award presented by the Sahitya Akademi, India's National Academy of Letters, to recognize and encourage young writers. Established in 2011, the award aims to promote and celebrate the literary contributions of emerging authors in various Indian languages.</t>
  </si>
  <si>
    <t>The Sahitya Akademi Yuva Puraskar is a prestigious literary award established by the Sahitya Akademi, India's National Academy of Letters, to honor and encourage young writers. Launched in 2011, this award is specifically aimed at authors aged 35 years or younger who have made significant contributions to Indian literature in various languages recognized by the Akademi. The Yuva Puraskar is awarded for original works across multiple genres, including poetry, fiction, drama, and literary criticism. Recipients receive a cash prize, a citation, and a plaque, acknowledging their literary achievements. The award not only recognizes the talents of emerging writers but also aims to inspire a new generation of literary voices, fostering creativity and promoting the diversity of Indian literature. By celebrating young talent, the Sahitya Akademi Yuva Puraskar plays a vital role in enriching the cultural landscape of India.</t>
  </si>
  <si>
    <t>https://sahitya-akademi.gov.in/</t>
  </si>
  <si>
    <t>1. Visit the Official Website: Go to the Sahitya Akademi website.
2. Check Eligibility: Ensure you meet the age requirement (under 35) and have a published work in a recognized language.
3. Prepare Application Materials: Gather necessary documents, including copies of your published work.
4. Fill Out the Application Form: Complete the application form available on the website.
5. Submit Your Application: Send your application along with required documents before the deadline.
6. Await Results: Keep an eye on announcements for the award recipients.</t>
  </si>
  <si>
    <t>1. Published work (book, poetry collection, etc.)
2. Proof of age (such as a birth certificate or ID)
3. Any additional documentation as specified in the application guidelines</t>
  </si>
  <si>
    <t>https://www.youtube.com/watch?v=7fLaSDiJIeg</t>
  </si>
  <si>
    <t>91-11-2338 4027</t>
  </si>
  <si>
    <t>Sahitya Akademi,
35, Ferozeshah Road,
New Delhi - 110001, India.</t>
  </si>
  <si>
    <t>sahityaakademi@gmail.com</t>
  </si>
  <si>
    <t>The Sahu Jain Trust Loan Scholarship is a financial assistance program aimed at supporting deserving students in India who are pursuing higher education. Established by the Sahu Jain family, the trust seeks to promote education by providing interest-free loans to students from economically weaker backgrounds, enabling them to complete their studies without financial constraints.</t>
  </si>
  <si>
    <t>The Sahu Jain Trust Loan Scholarship is an initiative aimed at supporting deserving students in India who face financial challenges while pursuing higher education. Established by the Sahu Jain family, the trust provides interest-free loans to students from economically disadvantaged backgrounds, enabling them to continue their studies without the burden of financial constraints. The scholarship is available for various professional courses, including engineering, medicine, and management. Applicants must demonstrate financial need and submit academic records along with their application. The trust evaluates applications based on merit and financial criteria, aiming to empower students to achieve their academic goals. With a focus on promoting education, the Sahu Jain Trust Loan Scholarship plays a vital role in enhancing access to quality education, helping students transform their aspirations into reality and contribute positively to society.</t>
  </si>
  <si>
    <t>http://www.sahujaintrust.timesofindia.com/</t>
  </si>
  <si>
    <t>1. Visit the Official Website: Navigate to the Sahu Jain Trust website.
2. Check Eligibility: Review the eligibility criteria for the loan scholarship.
3. Prepare Required Documents: Gather necessary documents such as academic records and financial statements.
4. Fill Out the Application Form: Complete the online application form available on the website.
5. Submit Your Application: Send your application along with required documents before the deadline.
6. Await Confirmation: Monitor for any communication regarding the status of your application.</t>
  </si>
  <si>
    <t>1. Academic transcripts
2. Proof of income or financial need
3. Admission letter from the educational institution
4. Identity proof (Aadhaar card, PAN card, etc.)
5. Any additional documents as specified in the application guidelines</t>
  </si>
  <si>
    <t>https://www.youtube.com/watch?v=mWKFj90IRdU</t>
  </si>
  <si>
    <t>91-11-2588 3843</t>
  </si>
  <si>
    <t>Sahu Jain Trust,
16/1, East Patel Nagar,
New Delhi - 110008, India.</t>
  </si>
  <si>
    <t>sahujaintrust@gmail.com</t>
  </si>
  <si>
    <t>The Sanskrit Scholarship (SSE) in Kerala is a government initiative aimed at promoting the study and appreciation of Sanskrit among students. This scholarship program is designed to support learners who wish to pursue Sanskrit as a subject in their academic curriculum, fostering interest in this ancient language and its rich cultural heritage.</t>
  </si>
  <si>
    <t>The Sanskrit Scholarship (SSE) in Kerala is a government initiative aimed at promoting the study and appreciation of Sanskrit among students. This scholarship program supports learners who wish to pursue Sanskrit as a subject in their academic curriculum, fostering interest in this ancient language and its rich cultural heritage. The scholarship is primarily available to students enrolled in schools and colleges in Kerala who have chosen Sanskrit as their subject, with eligibility typically based on academic performance and financial need. The financial assistance helps cover tuition fees and other educational expenses, thereby encouraging students to engage deeply with Sanskrit literature, philosophy, and culture. By facilitating access to quality education in Sanskrit, the SSE aims to preserve and promote this ancient language, ensuring that future generations appreciate its significance in Indian history and literature.</t>
  </si>
  <si>
    <t>https://collegiateedu.kerala.gov.in/</t>
  </si>
  <si>
    <t>1. Visit the Official Website: Navigate to the scholarship section of the Kerala Government's website.
2. Check Eligibility: Review the eligibility criteria for the Sanskrit Scholarship.
3. Prepare Required Documents: Gather necessary documents, including academic records and proof of Sanskrit study.
4. Fill Out the Application Form: Complete the online application form available on the website.
5. Submit Your Application: Ensure all documents are submitted before the deadline.
6. Await Confirmation: Monitor for any updates regarding the status of your application.</t>
  </si>
  <si>
    <t>1. Academic transcripts
2. Proof of enrollment in a Sanskrit course
3. Identity proof (such as Aadhaar card or passport)
4. Any other documents specified in the application guidelines</t>
  </si>
  <si>
    <t>https://www.youtube.com/watch?v=V9nwnuyvCEQ</t>
  </si>
  <si>
    <t>011-23318855</t>
  </si>
  <si>
    <t>Government of Kerala,
Secretariat,
Thiruvananthapuram, Kerala, India.</t>
  </si>
  <si>
    <t>sanskrit@csu.ac.in</t>
  </si>
  <si>
    <t>The Santoor Women’s Scholarship is a notable initiative aimed at empowering women in India through education. Sponsored by the Wipro Consumer Care and Wipro Enterprises, the scholarship is designed to support female students from economically disadvantaged backgrounds, helping them pursue higher education and achieve their career aspirations.</t>
  </si>
  <si>
    <t>The Santoor Women’s Scholarship is an initiative aimed at empowering women in India through education. Sponsored by Wipro Consumer Care and Wipro Enterprises, this scholarship supports female students from economically disadvantaged backgrounds, enabling them to pursue higher education and achieve their career aspirations. The scholarship is open to women pursuing undergraduate and postgraduate courses at recognized institutions across India. Applicants must demonstrate financial need and have a commendable academic record. The scholarship provides financial assistance of up to INR 50,000 per year, which helps cover tuition fees and other educational expenses. The application process typically requires students to submit personal details, academic records, and income certificates. By facilitating access to education, the Santoor Women’s Scholarship aims to foster gender equality and empower women to become independent, contributing members of society, thereby enhancing their role in various professional fields.</t>
  </si>
  <si>
    <t>https://santoorscholarships.com/</t>
  </si>
  <si>
    <t>1. Visit the Official Website: Navigate to the Wipro Cares scholarship page.
2. Check Eligibility: Review the eligibility criteria for the Santoor Women’s Scholarship.
3. Prepare Required Documents: Gather necessary documents, such as academic records and proof of income.
4. Fill Out the Application Form: Complete the online application form available on the website.
5. Submit Your Application: Ensure all documents are submitted before the deadline.
6. Await Confirmation: Keep an eye on your email for updates regarding your application status.</t>
  </si>
  <si>
    <t>1. Academic transcripts
2. Proof of family income
3. Identity proof (such as Aadhaar card or PAN card)
4. Admission letter from the educational institution
5. Any additional documents as specified in the application guidelines</t>
  </si>
  <si>
    <t>https://www.youtube.com/watch?v=CU5ycPwXBHM</t>
  </si>
  <si>
    <t>91 7337835166</t>
  </si>
  <si>
    <t>Wipro Limited,
Doddakannelli,
Sarjapur Road,
Bangalore - 560035, India.</t>
  </si>
  <si>
    <t>santoor.scholarship@buddy4study.com</t>
  </si>
  <si>
    <t>The Schindler Igniting Minds Scholarship Program is an initiative by Schindler India, aimed at supporting and empowering underprivileged students in India through education. The program is designed to provide financial assistance to deserving students who face economic challenges, enabling them to pursue their academic goals and secure a better future.</t>
  </si>
  <si>
    <t>The Schindler Igniting Minds Scholarship Program is a distinguished initiative by Schindler India aimed at empowering underprivileged students through education. The program focuses on providing financial assistance to deserving students who aspire to pursue higher education but face economic challenges. It primarily targets students enrolled in engineering, technology, and vocational courses, offering them the opportunity to overcome financial barriers and achieve their academic goals. Eligible applicants must demonstrate a strong academic record and a genuine need for support. The scholarship covers tuition fees, educational materials, and other related expenses, ensuring that recipients can focus on their studies without financial stress. By fostering education and skills development, the Schindler Igniting Minds Scholarship Program plays a crucial role in enhancing the future prospects of talented students, ultimately contributing to the social and economic upliftment of communities.</t>
  </si>
  <si>
    <t>https://www.schindler.in/</t>
  </si>
  <si>
    <t>1. Visit the Official Website: Go to the Schindler scholarship page.
2. Check Eligibility: Review the eligibility criteria specified on the website.
3. Prepare Required Documents: Collect necessary documents such as academic transcripts, proof of income, and identity verification.
4. Fill Out the Application Form: Complete the online application form available on the website.
5. Submit Your Application: Ensure that all documents are uploaded and submit your application before the deadline.
6. Await Confirmation: Keep an eye on your email for any updates regarding your application status.</t>
  </si>
  <si>
    <t>1. Academic transcripts
2. Proof of income (such as family income certificate)
3. Identity proof (like Aadhaar card or passport)
4. Any additional documents as specified in the application guidelines</t>
  </si>
  <si>
    <t>https://www.youtube.com/watch?v=4Fk023yCr5Y</t>
  </si>
  <si>
    <t>1800-209-5438</t>
  </si>
  <si>
    <t>Schindler India Pvt. Ltd.
Times Tower, 1st Floor,
Kamala Mills Compound,
Lower Parel, Mumbai – 400 013, India</t>
  </si>
  <si>
    <t>scholarship@schindler.com</t>
  </si>
  <si>
    <t>The Scholarships for Top Class Education for Students with Disabilities is a central sector scheme by the Ministry of Social Justice and Empowerment, Government of India. It aims to provide financial assistance to students with disabilities pursuing higher education in top-tier institutions across India. This scholarship is intended to empower students by reducing their financial burden and promoting inclusive education. It covers tuition fees, maintenance expenses, books, and assistive devices. The initiative primarily focuses on enhancing the accessibility of quality education for students with at least 40% disability, thus helping them achieve academic and professional excellence.</t>
  </si>
  <si>
    <t>The Scholarships for Top Class Education for Students with Disabilities is a government initiative aimed at supporting students with disabilities in pursuing undergraduate, postgraduate, or diploma-level education in premier institutions across India. Eligible students should have a minimum of 40% disability, with proof from a competent medical authority. The scheme provides financial coverage for tuition fees, maintenance allowances, and book grants. Private institutions receive tuition coverage up to ₹2 lakh per annum, while premier institutions are covered up to ₹3 lakh. In addition to academic expenses, the scholarship offers a monthly maintenance allowance of ₹3,000 for hostellers and ₹1,500 for day scholars, along with an annual allowance of ₹5,000 for books and stationery. Students can also receive a one-time grant of ₹30,000 for the purchase of assistive devices or aids. The scholarship is renewable yearly, contingent on satisfactory academic performance. The application process is online through the National Scholarship Portal (NSP), which streamlines submissions and direct fund transfers to the student’s bank account, ensuring transparency and accountability.</t>
  </si>
  <si>
    <t>scholarships.gov.in</t>
  </si>
  <si>
    <t>1. Online Registration: Go to scholarships.gov.in and register as a new user.
2. Login: Use your registration ID and password to log in.
3. Application Form: Search for Scholarships for Top Class Education for Students with Disabilities and fill in all required details.
4. Upload Documents: Upload scanned copies of the required documents.
5. Review &amp; Submit: Carefully review the form and submit it.
6. Print: Save and print the confirmation receipt for future reference.</t>
  </si>
  <si>
    <t>1. Disability Certificate issued by a competent authority.
2. Proof of Admission or Enrollment Certificate.
3. Family Income Certificate (not exceeding ₹8 lakh annually).
4. Mark sheets of the last qualifying examination.
5. Bank account details (in the student's name).
6. Passport-sized photograph of the student.</t>
  </si>
  <si>
    <t>https://www.youtube.com/watch?v=Aqip2CeQHBU</t>
  </si>
  <si>
    <t>91-11-24369059</t>
  </si>
  <si>
    <t>Department of Empowerment of Persons with Disabilities, Ministry of Social Justice &amp; Empowerment, Government of India, Room No. 516, 5th Floor, B-2 Wing, Paryavaran Bhawan, CGO Complex, Lodhi Road, New Delhi-110003</t>
  </si>
  <si>
    <t>scholarships-msje@gov.in</t>
  </si>
  <si>
    <t>The University of South Wales offers online scholarships to international students aiming to pursue higher education through its extensive range of online courses. The scholarships are designed to ease the financial burden for students and make quality education accessible globally. These scholarships cover various undergraduate and postgraduate programs, enabling students to acquire UK-accredited degrees remotely. The University is known for providing professional and career-oriented courses, focusing on flexible learning schedules and affordability.</t>
  </si>
  <si>
    <t>The University of South Wales (USW) offers scholarships for students who wish to study online through their extensive range of accredited undergraduate and postgraduate courses. This scholarship initiative is tailored for international students seeking quality education at a significantly reduced cost. The USW Online programs are crafted to cater to busy professionals and students who prefer flexible study options. They provide a learning experience identical to on-campus programs, but in a virtual format, with access to the same resources, curriculum, and instructors. Scholarships are available based on merit, financial need, or specific regional or professional requirements. These scholarships can significantly reduce the overall tuition cost, making it more feasible for students worldwide to obtain UK-based degrees remotely. Students can access interactive modules, webinars, and discussions through the University's digital learning platform, maintaining a well-rounded academic experience. The USW also offers dedicated support services to its online students, including career counseling and academic guidance, ensuring that all students receive a comprehensive and enriching educational experience.</t>
  </si>
  <si>
    <t>online.southwales.ac.uk</t>
  </si>
  <si>
    <t>1. Visit the Official Website: Go to online.southwales.ac.uk and explore the available courses.
2. Select a Course: Choose the course that fits your interests and career goals.
3. Check Scholarship Eligibility: Review the available scholarships and the corresponding eligibility criteria.
4. Application Form: Fill out the course application form online.
5. Apply for Scholarship: During the course application, provide information about why you need the scholarship (if prompted) or complete a separate scholarship form (if applicable).
6. Submit Required Documents: Attach the necessary documents for the course and scholarship application.
7. Submit Application: Review all details and submit your application for the course and scholarship.</t>
  </si>
  <si>
    <t>1. Academic transcripts and certificates.
2. Proof of English language proficiency (e.g., IELTS/TOEFL).
3. Statement of Purpose (detailing why you are applying for the course and scholarship).
4. Passport copy or identification.
5. Professional CV or resume (for postgraduate courses).
6. Reference letters (if required).</t>
  </si>
  <si>
    <t>https://www.youtube.com/watch?v=nTACvZGra6U</t>
  </si>
  <si>
    <t>44 (0)1443 654 450</t>
  </si>
  <si>
    <t>University of South Wales, Pontypridd, Wales, CF37 1DL, United Kingdom</t>
  </si>
  <si>
    <t>admissions@southwales.ac.uk</t>
  </si>
  <si>
    <t>Science Without Borders Challenge</t>
  </si>
  <si>
    <t>The Science Without Borders Challenge is an international art competition organized by the Khaled bin Sultan Living Oceans Foundation. The challenge encourages students to create original artwork that inspires the preservation and protection of the world’s oceans. Open to students from 11 to 19 years old, the competition aims to raise awareness about ocean conservation issues through art. Each year, the challenge focuses on a unique theme related to marine conservation, enabling participants to explore and express their creativity while promoting ocean awareness.</t>
  </si>
  <si>
    <t>The Science Without Borders Challenge is a global art competition founded by the Khaled bin Sultan Living Oceans Foundation, with the mission to promote ocean conservation through visual art. This annual competition is open to students aged 11-19 years worldwide, inviting them to create artwork that highlights the importance of preserving the marine environment. Each year, the competition adopts a specific theme related to ocean conservation, such as coral reefs, marine pollution, sustainable fishing, or endangered marine species. Participants are encouraged to research the theme and present their understanding and passion for ocean preservation through innovative and original art. The winning entries receive cash prizes and are featured on the Foundation’s website and promotional materials, providing young artists an international platform to showcase their talents. The competition is part of the Foundation's broader effort to raise awareness about critical ocean issues, engage the youth in marine conservation, and inspire collective action to protect and restore marine ecosystems.</t>
  </si>
  <si>
    <t>livingoceansfoundation.org</t>
  </si>
  <si>
    <t>1. Visit the Official Website: Go to the competition page on livingoceansfoundation.org.
2. Check the Theme: Review the current year's theme and read the guidelines.
3. Prepare Your Artwork: Create an original piece based on the given theme using traditional media (e.g., painting, drawing).
4. Fill Out the Entry Form: Download and complete the entry form available on the website.
5. Submit Your Entry: Mail the original artwork and entry form to the address specified by the Foundation.
6. Confirmation: Wait for confirmation that your entry has been received.</t>
  </si>
  <si>
    <t>1. Completed entry form.
2. Proof of age or school enrollment (if required).
3. Original artwork based on the theme.
4. Parental consent form for participants under 18 years old (if required).</t>
  </si>
  <si>
    <t>https://www.youtube.com/watch?v=NMVh1Pb3_40</t>
  </si>
  <si>
    <t>1 (301) 577-1288</t>
  </si>
  <si>
    <t>Khaled bin Sultan Living Oceans Foundation, 8181 Professional Place, Suite 215, Landover, MD 20785, USA</t>
  </si>
  <si>
    <t>education@lof.org</t>
  </si>
  <si>
    <t>Shankar's International Children's Competition</t>
  </si>
  <si>
    <t>The Shankar’s International Children’s Competition is a globally recognized art and writing competition organized by Shankar’s Academy of Art and Book Publishing in India. Established by the renowned Indian cartoonist K. Shankar Pillai in 1949, the competition encourages creativity and artistic expression among children. It is open to participants from all around the world, aged 5 to 16 years. The competition features various categories like painting, drawing, and writing, with a focus on artistic originality and the exploration of themes that resonate with children. Winners are awarded prestigious medals, certificates, and opportunities to showcase their work.</t>
  </si>
  <si>
    <t>The Shankar’s International Children’s Competition is an annual event that aims to celebrate and encourage creativity among young artists and writers worldwide. Founded by the prominent Indian cartoonist K. Shankar Pillai in 1949, this competition provides a global platform for children aged 5 to 16 years to showcase their talents in art and writing. The competition has two main categories: Painting and Writing. The Painting section includes entries such as watercolors, pastels, crayons, or pencil sketches, with emphasis on originality and expressive techniques. The Writing section, meanwhile, invites stories, essays, or poems focusing on subjects of interest to children. Participants are free to explore a wide range of topics, allowing them to express their creativity freely. Over the years, the competition has drawn entries from children in numerous countries, making it a truly international event. Winning entries receive medals and certificates, and selected works are often displayed in special exhibitions or published in a commemorative book, offering young talents recognition on an international stage.</t>
  </si>
  <si>
    <t>childrensbooktrust.com</t>
  </si>
  <si>
    <t>1. Visit the Official Website: Go to childrensbooktrust.com and find the Shankar’s International Children’s Competition section.
2. Download the Form: Download the entry form available on the website.
3. Choose a Category: Select either Painting or Writing, based on your interest.
4. Create Your Entry: Prepare your artwork or written submission according to the guidelines.
5. Fill Out the Entry Form: Complete the form with all required details.
6. Mail Your Entry: Send the entry form along with your original work to the provided address before the deadline.</t>
  </si>
  <si>
    <t>1. Completed entry form.
2. Original artwork or written entry.
3. Proof of age or school enrollment (if required).
4. Parental consent form for younger participants (if applicable).</t>
  </si>
  <si>
    <t>https://www.youtube.com/watch?v=eZlrxNJhLKk</t>
  </si>
  <si>
    <t>91-11-23748021</t>
  </si>
  <si>
    <t>Children’s Book Trust, Nehru House, 4 Bahadur Shah Zafar Marg, New Delhi-110002, India</t>
  </si>
  <si>
    <t>info@childrensbooktrust.com</t>
  </si>
  <si>
    <t>The SHDF (Scholarship Fund for Students of Higher Education) Scholarships are provided by the Sikh Human Development Foundation (SHDF) to support financially disadvantaged students in India. The foundation aims to empower young, deserving students to pursue higher education by providing financial assistance. The scholarships are open to students of all faiths, who are enrolled in undergraduate or postgraduate degree programs. Each year, SHDF awards a significant number of scholarships based on merit and financial need, helping students build a promising future and contribute positively to society.</t>
  </si>
  <si>
    <t>The SHDF Scholarships are an initiative by the Sikh Human Development Foundation, an NGO that aims to support the education of financially disadvantaged students across India. These scholarships target students pursuing undergraduate or postgraduate degrees in various fields. To be eligible, students must maintain a minimum of 60% marks in their previous examination and have a family income of less than ₹2.5 lakh per annum. SHDF focuses on identifying academically promising students who are unable to continue their education due to financial constraints. Each selected student receives financial assistance, which can be used towards tuition fees, books, and other educational expenses. The application process involves an online or offline submission of forms, along with supporting documents to verify financial status and academic performance. SHDF also conducts mandatory tests and interviews as part of the selection process. This scholarship encourages students to excel academically while promoting a sense of social responsibility. The goal is to uplift communities by supporting their youth in obtaining quality education and career opportunities.</t>
  </si>
  <si>
    <t>shdf.org</t>
  </si>
  <si>
    <t>1. Visit the Official Website: Go to shdf.org and review the scholarship details.
2. Download the Application Form: Find and download the scholarship application form from the website.
3. Check Eligibility: Verify that you meet the eligibility criteria regarding academic marks and family income.
4. Prepare Documents: Collect all necessary documents to support your application.
5. Submit the Form: Complete the form and submit it along with the documents by the specified deadline either online or through the SHDF’s partnering organizations in India.
6. Attend the Test and Interview: Prepare for the written test and interview, which are mandatory for selection.</t>
  </si>
  <si>
    <t>1. Completed scholarship application form.
2. Mark sheets and certificates of the last qualifying examination.
3. Proof of family income (e.g., salary certificate, income tax return, or affidavit).
4. Admission proof or fee receipt from the institution.
5. Passport-sized photographs.
6. Identity proof (e.g., Aadhaar card, passport).
7. Personal Statement or Essay (if required).</t>
  </si>
  <si>
    <t>https://www.youtube.com/watch?v=zWJnB_L4NNE</t>
  </si>
  <si>
    <t>91-98184-63436</t>
  </si>
  <si>
    <t>Sikh Human Development Foundation, C/O Nishkam Sikh Welfare Council, 682, Phase-1, New Delhi-110083, India</t>
  </si>
  <si>
    <t>info@shdf.org</t>
  </si>
  <si>
    <t>The Shiv Nadar University Scholarship is an initiative by Shiv Nadar University (SNU), a leading private institution in India, to support meritorious students pursuing higher education. The scholarships are designed to recognize academic excellence, leadership qualities, and holistic development. They are offered across all undergraduate and postgraduate programs and are aimed at creating opportunities for students from diverse backgrounds to achieve their educational and career aspirations. SNU’s scholarships cover various levels of financial support, ranging from partial to full tuition fee waivers based on the applicant’s achievements and potential.</t>
  </si>
  <si>
    <t>The Shiv Nadar University Scholarship program is designed to provide financial support to students who demonstrate exceptional academic achievements, leadership capabilities, and a commitment to community service. SNU offers a range of scholarships, including Merit Scholarships, Rural Scholarships, and Special Scholarships for differently-abled students and those from economically weaker sections. The Merit Scholarships are awarded based on academic performance in qualifying exams, while the Rural Scholarships target students from underrepresented areas. The Special Scholarships aim to provide assistance to students with specific needs, ensuring inclusivity and accessibility. Scholarship amounts vary and may cover partial to full tuition fees, as well as additional stipends for books and other expenses. In order to maintain their scholarships, recipients are required to maintain a consistent academic record and actively contribute to campus life. SNU’s holistic scholarship approach aims to attract talented students from across India and empower them to achieve their fullest potential by reducing financial barriers to quality education.</t>
  </si>
  <si>
    <t>snu.edu.in</t>
  </si>
  <si>
    <t>1. Visit the Official Website: Go to snu.edu.in and navigate to the scholarship section.
2. Check Eligibility: Review the different scholarship categories and their respective eligibility criteria.
3. Apply for Admission: Complete the admission application for the desired program.
4. Submit Scholarship Application: While applying for admission, provide the necessary details to be considered for scholarships.
5. Upload Required Documents: Submit academic records, proof of income, and other supporting documents.
6. Attend Interviews (if required): Shortlisted candidates may be required to attend an interview or further assessment.</t>
  </si>
  <si>
    <t>1. Academic transcripts and certificates.
2. Proof of family income (income certificate, ITR, etc.).
3. Identity proof (e.g., Aadhaar card, passport).
4. Personal Statement or Statement of Purpose (if required).
5. Recommendation letters (if applicable).
6. Admission acceptance letter (if admission is confirmed).</t>
  </si>
  <si>
    <t>https://www.youtube.com/watch?v=qCPkQtnyrfE</t>
  </si>
  <si>
    <t>91-120-7170100</t>
  </si>
  <si>
    <t>Shiv Nadar University, NH91, Tehsil Dadri, Gautam Buddha Nagar, Uttar Pradesh 201314, India</t>
  </si>
  <si>
    <t>admissions@snu.edu.in</t>
  </si>
  <si>
    <t xml:space="preserve">The Shri. R.N. Lakshmipathi and Smt. Nagarathnamma, Gauribidanur Merit Scholarship is an educational initiative aimed at providing financial assistance to meritorious students from the Gauribidanur region in Karnataka. This scholarship is primarily intended to support students who exhibit academic excellence but come from economically disadvantaged backgrounds. Established in memory of Shri R.N. Lakshmipathi and Smt. Nagarathnamma, this scholarship aims to encourage higher education among local students, fostering opportunities for them to pursue higher education in various fields without financial hindrances.
</t>
  </si>
  <si>
    <t>The Shri. R.N. Lakshmipathi and Smt. Nagarathnamma, Gauribidanur Merit Scholarship is offered to academically bright students hailing from Gauribidanur in Karnataka. The scholarship is designed to financially support meritorious students who may not have sufficient means to continue their education. This scholarship covers students pursuing their undergraduate or postgraduate studies in recognized institutions. To be eligible, applicants are required to demonstrate consistently good academic performance and prove that their family's financial situation limits their ability to pay for educational expenses. Special consideration is given to students from underrepresented communities or families facing financial hardships. The scholarship amount can be utilized to cover tuition fees, textbooks, and other essential educational expenses. The selection process involves reviewing academic records, verifying financial conditions, and conducting interviews if necessary. The scholarship aims to uplift deserving students and promote higher education as a stepping stone to a prosperous future.</t>
  </si>
  <si>
    <t>1. Check Eligibility: Ensure that you fulfill the academic and financial criteria required for this scholarship.
2. Visit the Official Source: Obtain the scholarship application form from local education offices, authorized centers, or download it if available online.
3. Fill Out the Application: Complete the form with all the necessary details about your academic achievements and financial background.
4. Attach Required Documents: Gather and attach all relevant documents (as mentioned in the "Documents Required" section).
5. Submit the Form: Submit the completed application form either online or at the designated center before the deadline.
6. Verification Process: The authorities may conduct an interview or verify the provided documents before finalizing the selection.</t>
  </si>
  <si>
    <t>1. Academic transcripts and certificates.
2. Proof of family income (income certificate, BPL card, etc.).
3. Address proof (ration card, voter ID, etc.).
4. Caste certificate (if applicable).
5. Recommendation letter from the institution or a responsible local authority.
6. Identity proof (Aadhaar card, PAN card, etc.).</t>
  </si>
  <si>
    <t>https://youtu.be/sample</t>
  </si>
  <si>
    <t>91-8155-286422</t>
  </si>
  <si>
    <t>Office of the Block Education Officer, Gauribidanur, Karnataka, India.</t>
  </si>
  <si>
    <t>deo.chikkaballapur@gmail.com</t>
  </si>
  <si>
    <t>The Shubh Aarambh Scholarship is a social initiative by Mondelēz India, aimed at supporting the educational needs of underprivileged children. The program focuses on students from economically weaker sections, providing financial assistance for education from class XI to graduation. The scholarship aims to bridge the financial gap that hinders the education of deserving students and promotes their overall development through monetary aid, mentoring, and skill-building programs. The primary objective is to empower youth by offering them the necessary resources to achieve their academic and career goals.</t>
  </si>
  <si>
    <t>The Shubh Aarambh Scholarship is a community-based educational initiative run by Mondelēz India, in partnership with Save the Children India. It focuses on supporting economically disadvantaged students in their higher secondary and undergraduate education. This scholarship aims to provide not only financial assistance but also holistic development opportunities for selected students. Eligible students typically come from rural areas or urban slums and are selected based on their academic performance and financial needs. The scholarship is intended for students from class XI up to graduation, providing funds for tuition fees, books, and other educational expenses. Additionally, the program incorporates mentorship and life skills training, which help the students in personal growth and career readiness. By combining financial aid with comprehensive development, the Shubh Aarambh Scholarship aims to help students achieve their academic aspirations and contribute positively to society.</t>
  </si>
  <si>
    <t>https://scholarshiplearn.com/</t>
  </si>
  <si>
    <t>1. Visit the Official Website: Go to Save the Children India and search for the Shubh Aarambh Scholarship section.
2. Check Eligibility: Review the eligibility criteria, which usually include academic performance and financial status.
3. Download the Application Form: Obtain the application form from the website or from a local program office.
4. Fill Out the Application: Provide all the required information accurately.
5. Attach Necessary Documents: Gather and attach the documents needed to support your application.
6. Submit the Application: Submit the form either online or at the designated office before the deadline.
7. Attend Interviews or Further Assessments: If shortlisted, you may be called for an interview or a verification process.</t>
  </si>
  <si>
    <t>1. Academic records and mark sheets.
2. Proof of family income (income certificate, salary slip, or declaration).
3. Identity proof (Aadhaar card, school ID, etc.).
4. Address proof (ration card, utility bill, etc.).
5. Recent passport-sized photographs.
6. Personal statement (if required).</t>
  </si>
  <si>
    <t>91-11-4229 4900</t>
  </si>
  <si>
    <t>Save the Children India, 3rd Floor, Vardhman Trade Centre, Nehru Place, New Delhi-110019, India</t>
  </si>
  <si>
    <t>info@savethechildren.in</t>
  </si>
  <si>
    <t>The SIA Youth Scholarship is a prestigious scholarship program offered by the Ministry of Education (MOE) in Singapore in collaboration with the Singapore Airlines (SIA) Group. The scholarship is open to outstanding students from India and other Asian countries, providing an opportunity to study in Singapore for two years at pre-university level (equivalent to Classes XI and XII). It aims to foster closer ties between Singapore and participating countries while nurturing academically gifted students for future leadership roles. Selected scholars receive full financial support, which includes tuition fees, living expenses, and travel costs.</t>
  </si>
  <si>
    <t>The SIA Youth Scholarship is designed to offer bright and deserving students from India and other Asian countries the opportunity to pursue their pre-university education in Singapore’s top junior colleges. Administered by the Ministry of Education, Singapore, in collaboration with the Singapore Airlines (SIA) Group, this scholarship program targets students who have demonstrated strong academic performance, leadership potential, and an aptitude for community involvement. The scholarship provides full financial coverage, including tuition fees, accommodation, a monthly allowance, and return airfare to and from Singapore. This two-year program focuses on providing high-quality education, exposure to international culture, and personal growth opportunities. Scholars receive a strong academic foundation that enables them to pursue further studies in prestigious universities around the world. The selection process involves a series of tests and interviews to evaluate applicants on their academic merit and potential to excel in a rigorous academic environment. Students awarded the SIA Youth Scholarship gain a valuable chance to experience life in a vibrant, multicultural city while building a solid academic and social network.</t>
  </si>
  <si>
    <t>www.moe.gov.sg</t>
  </si>
  <si>
    <t>1. Visit the Official Website: Go to www.moe.gov.sg and navigate to the SIA Youth Scholarship section.
2. Check Eligibility: Ensure you meet the academic requirements and other eligibility criteria.
3. Register Online: Create an account on the application portal and register for the scholarship.
4. Fill Out the Application Form: Provide accurate information about your academics, achievements, and personal details.
5. Submit Required Documents: Upload scanned copies of your academic records, identity proof, and other necessary documents.
6. Submit the Application: Review and submit your application before the specified deadline.
7. Attend Tests and Interviews: Shortlisted candidates will be required to undergo written tests and interviews in designated centers.</t>
  </si>
  <si>
    <t>1. Academic records (marksheets and certificates from Class IX and X).
2. Proof of nationality (passport or identity card).
3. A recent passport-sized photograph.
4. School-leaving certificate (if required).
5. Character reference or recommendation letter (if requested).</t>
  </si>
  <si>
    <t>https://www.youtube.com/watch?v=1c4ABvZ-mOI</t>
  </si>
  <si>
    <t>65-6872 2220</t>
  </si>
  <si>
    <t>Ministry of Education, 1 North Buona Vista Drive, Singapore 138675</t>
  </si>
  <si>
    <t>contact@moe.gov.sg</t>
  </si>
  <si>
    <t>The Siemens Scholarship Program is a flagship initiative by Siemens India, aimed at empowering academically talented engineering students from economically disadvantaged backgrounds. Launched in 2014, this scholarship supports students pursuing engineering education across various government colleges in India. The program focuses on providing financial assistance, skill development, and employability enhancement to scholars. In addition to covering tuition fees, Siemens offers holistic support including internships, soft skills training, and mentoring to equip students with the competencies needed for the future workforce.</t>
  </si>
  <si>
    <t>The Siemens Scholarship Program is an initiative by Siemens India to nurture and empower deserving engineering students by providing financial and professional support. The program is designed to identify high-performing students from economically underprivileged families and provide them with the necessary resources to pursue engineering education at prestigious government institutions. The scholarship covers tuition fees, allowances for books, stationery, and other academic expenses. In addition to financial support, the program offers exposure to industrial training through internships at Siemens, skill-building workshops, and mentoring from Siemens experts to enhance employability. The scholarship is aimed at creating a sustainable impact by not only providing monetary aid but also equipping students with industry-relevant skills to become competent professionals. The selection process involves academic performance in Class XII, JEE Main rank, and a series of interviews. Over the years, this program has successfully helped many scholars secure rewarding career opportunities, contributing significantly to building a skilled workforce for the nation.</t>
  </si>
  <si>
    <t>www.siemens.co.in</t>
  </si>
  <si>
    <t>1. Visit the Official Website: Go to www.siemens.co.in and navigate to the Siemens Scholarship Program section.
2. Check Eligibility: Verify that you meet the eligibility criteria, including academic requirements and income limits.
3. Register Online: Create an account on the Siemens Scholarship application portal.
4. Fill Out the Application Form: Provide your personal, academic, and family details accurately.
5. Upload Required Documents: Attach scanned copies of your marksheets, income proof, and other necessary documents.
6. Submit the Application: Review and submit your completed application before the deadline.
7. Attend Interviews: Shortlisted candidates may be called for interviews and further assessments.</t>
  </si>
  <si>
    <t>1. Academic records (Class X and XII marksheets).
2. Admission proof in a government engineering college.
3. Proof of family income (income certificate, salary slip, etc.).
4. Identity proof (Aadhaar card, school ID, etc.).
5. JEE Main scorecard.
6. Bank account details for scholarship disbursement.</t>
  </si>
  <si>
    <t>https://www.youtube.com/watch?v=epGichDxbzc</t>
  </si>
  <si>
    <t>91-22-3967 7000</t>
  </si>
  <si>
    <t>Siemens Ltd., Birla Aurora, Level 21, Plot No. 1080, Dr. Annie Besant Road, Worli, Mumbai - 400030, India</t>
  </si>
  <si>
    <t>scholarshipindia.in@siemens.com</t>
  </si>
  <si>
    <t>The Siksha ‘O’ Anusandhan Admission Test (SAAT) is an entrance examination conducted by Siksha ‘O’ Anusandhan (SOA) University in Odisha, India, for admission to various undergraduate and postgraduate programs. Established in 2007, SOA is recognized for its quality education in engineering, medical, management, and other fields. SAAT is designed to assess the knowledge and skills of candidates seeking admission to the university's diverse courses, including B.Tech, B.Sc, MBA, and M.Tech. The examination is held annually, and successful candidates can secure admission based on their performance and the university's counseling process.</t>
  </si>
  <si>
    <t>The Siksha ‘O’ Anusandhan Admission Test (SAAT) serves as a gateway for aspiring students to gain admission into the Siksha ‘O’ Anusandhan University, a prominent educational institution in Bhubaneswar, Odisha. The test evaluates candidates' understanding in various subjects, including Mathematics, Physics, Chemistry, and general knowledge, depending on the program they apply for. SAAT is typically conducted in a multiple-choice question format and spans a duration of 2 to 3 hours. It attracts numerous candidates from across the country seeking quality education in engineering, management, pharmacy, law, and health sciences. The examination process involves an online application, followed by the test, and culminates in a counseling phase where students are allocated seats based on their ranks and preferences. The university aims to promote academic excellence and provide an environment conducive to learning, research, and innovation. Successful candidates benefit from a comprehensive educational experience supported by modern facilities and experienced faculty members.</t>
  </si>
  <si>
    <t>www.soa.ac.in</t>
  </si>
  <si>
    <t>1. Visit the Official Website: Go to www.soa.ac.in.
2. Register Online: Create an account on the SAAT portal for the admission test.
3. Check Eligibility: Review the eligibility criteria for your desired program.
4. Fill Out the Application Form: Complete the online application form with accurate personal and academic details.
5. Upload Required Documents: Attach necessary documents like mark sheets and identification proof.
6. Pay the Application Fee: Complete the payment for the entrance test as specified.
7. Download Admit Card: After the application process, download your admit card for the test.
8. Prepare and Attend the Exam: Prepare for the exam based on the syllabus and attend on the specified date.</t>
  </si>
  <si>
    <t>1. SAAT Admit Card and Scorecard
2. Class 10th and 12th Mark Sheets
3. Identity Proof (Aadhaar Card/Passport/Driving License)
4. Category Certificate (if applicable)
5. Income Certificate (if applicable for financial aid)
6. Passport Size Photographs</t>
  </si>
  <si>
    <t>https://www.youtube.com/watch?v=yiAtoo3VzBs</t>
  </si>
  <si>
    <t>91-674-2350635</t>
  </si>
  <si>
    <t>Siksha ‘O’ Anusandhan University, Khandagiri Square, Bhubaneswar, Odisha - 751030, India.</t>
  </si>
  <si>
    <t>saat@soa.ac.in</t>
  </si>
  <si>
    <t>The Sitaram Jindal Foundation Scholarship is a merit-cum-means-based scholarship scheme established by the Sitaram Jindal Foundation. The foundation aims to provide financial support to deserving students from economically disadvantaged backgrounds pursuing studies at various levels such as school (Class 11 and 12), ITI, undergraduate, postgraduate, and professional courses. The scholarship seeks to promote education and help students achieve their career aspirations without financial constraints. It focuses on empowering students with talent and potential to become successful professionals and contributors to society.</t>
  </si>
  <si>
    <t>The Sitaram Jindal Foundation Scholarship is designed to offer financial assistance to students from low-income families who are pursuing studies at different levels. The foundation extends its support to students in higher secondary classes (Class 11 and 12), ITI courses, undergraduate degrees, postgraduate degrees, and professional programs like engineering, medicine, and management. Applicants must meet the required academic criteria, and their family income must fall within the specified limits to qualify for the scholarship. The scholarship is granted based on the merit of students and aims to empower economically weaker sections to continue their education. The amount of financial aid varies depending on the course and level of study. Preference is given to students who consistently demonstrate good academic performance and belong to rural and economically backward areas. The scholarship also considers special criteria such as the disability of students or their parents, and widowed/divorced women or wards of widowed/divorced women. Eligible students can apply by submitting a completed application form along with the required documents. The application is reviewed by the foundation, and selected candidates are awarded scholarships to cover their educational expenses.</t>
  </si>
  <si>
    <t>https://www.sitaramjindalfoundation.org/</t>
  </si>
  <si>
    <t>1. Visit the Official Website: Go to https://www.sitaramjindalfoundation.org/.
2. Download the Application Form: Click on the “Scholarships” section and download the application form in PDF format.
3. Fill the Application Form: Carefully fill in all required personal, academic, and family income details.
4. Attach Required Documents: Attach the relevant documents (academic certificates, income proof, etc.) along with the application form.
5. Submit by Post: Send the completed application form along with enclosures to the Sitaram Jindal Foundation’s official address.</t>
  </si>
  <si>
    <t>1. Academic Certificates and Mark Sheets
2. Income Certificate or Affidavit
3. Identity Proof (Aadhaar Card/Passport)
4. Passport Size Photographs
5. Bank Passbook Copy
6. Disability Certificate (if applicable)
7. Death Certificate (for wards of widowed/divorced women)</t>
  </si>
  <si>
    <t>https://www.youtube.com/watch?v=2bMyW15woIQ</t>
  </si>
  <si>
    <t>91-80-46622000</t>
  </si>
  <si>
    <t>Sitaram Jindal Foundation, Jindal Nagar, Tumkur Road, Bangalore - 560073, Karnataka, India.</t>
  </si>
  <si>
    <t>contactus@sitaramjindalfoundation.org</t>
  </si>
  <si>
    <t xml:space="preserve">The SOF Scholarship of Excellence in English (S.E.E) is a merit-based scholarship program initiated by the Science Olympiad Foundation (SOF) to promote the study of the English language among school students. This scholarship is aimed at recognizing the excellence of young learners in English and encouraging their proficiency in the language. The scholarship is offered annually to 120 students across India, who demonstrate exceptional academic performance in English. The scholarship focuses on rewarding students from different states, ensuring equal opportunity and encouragement for students in all regions.
</t>
  </si>
  <si>
    <t>The SOF Scholarship of Excellence in English (S.E.E) is a nationwide initiative aimed at encouraging students to excel in the English language. This scholarship is provided to school students based on their academic achievements in English as assessed by their school’s recommendation and the student's performance in SOF-conducted Olympiads, primarily the International English Olympiad (IEO). The scholarship is open to students from classes 1 to 10. Each year, 120 students are selected from different states, making it a balanced and inclusive opportunity for students from diverse regions. To be eligible for this scholarship, a student must have scored at least 90% marks in English in the previous academic year or the highest marks in their respective school. Additionally, the student’s family income should not exceed INR 15,000 per month. The selected students receive a scholarship of INR 5,000 and a certificate of merit. This scholarship not only motivates students to enhance their English language skills but also boosts their confidence and opens new avenues for their academic growth.</t>
  </si>
  <si>
    <t>https://sofworld.org/</t>
  </si>
  <si>
    <t>1. School Recommendation: Students must be recommended by their school based on their performance in English.
2. Eligibility Check: Ensure the student has scored at least 90% in English in the previous academic year and meets the family income criteria.
3. Application Form: Download the scholarship application form from the official SOF website or receive it from the school.
4. Fill in the Details: Complete the form with personal and academic details.
5. Submit the Application: Submit the completed form along with the required documents to the school, which will forward it to SOF.</t>
  </si>
  <si>
    <t>1. Previous Year’s Mark Sheet (showing English marks)
2. Income Certificate or Affidavit
3. School Recommendation Letter
4. Student’s Photograph
5. Identity Proof (Aadhaar Card/School ID)</t>
  </si>
  <si>
    <t>https://www.youtube.com/watch?v=xtrDYso0lDU</t>
  </si>
  <si>
    <t>91-9810336335</t>
  </si>
  <si>
    <t>SOF, Plot 99, Sector - 44, Gurgaon - 122003, Haryana, India.</t>
  </si>
  <si>
    <t>info@sofworld.org</t>
  </si>
  <si>
    <t>Sony World Photography Professional Competition</t>
  </si>
  <si>
    <t>The Sony World Photography Professional Competition is part of the annual Sony World Photography Awards, one of the most prestigious and widely recognized photography competitions globally. Organized by the World Photography Organisation, the Professional Competition is designed to celebrate and reward the world's best photographic talent. It invites professional photographers to submit their work in various categories, showcasing their creativity and visual storytelling prowess. Winners receive global recognition, cash prizes, and opportunities to exhibit their work on an international stage.</t>
  </si>
  <si>
    <t>The Sony World Photography Professional Competition is a global photography contest that aims to recognize and reward the best photographic projects by professional photographers. This competition is part of the broader Sony World Photography Awards, which consists of several categories, including Open, Youth, and Student. The Professional Competition specifically invites experienced photographers to submit a series of 5-10 images that demonstrate their artistic vision, technical skills, and storytelling ability. Categories range from Portraiture, Landscape, Documentary, and Still Life, to Architecture, Wildlife, and more. Entries are judged by a panel of experts, and winners are awarded substantial cash prizes, including $25,000 for the overall Professional Photographer of the Year. In addition to cash awards, winners receive a Sony digital imaging equipment package and are featured in the annual Sony World Photography Awards exhibition held in London. The competition also offers shortlisted and commended photographers significant exposure through global media coverage, exhibitions, and a printed awards book. This competition provides a platform for professionals to gain recognition, expand their careers, and reach new audiences with their work.</t>
  </si>
  <si>
    <t>https://www.worldphoto.org/</t>
  </si>
  <si>
    <t>1. Visit the Official Website: Go to https://www.worldphoto.org/.
2. Register an Account: Sign up for a free account on the World Photography Organisation website.
3. Select the Professional Competition: Choose the Professional category and review the submission guidelines.
4. Prepare a Photo Series: Create a series of 5-10 images that align with one of the specified categories.
5. Upload Images and Submit: Upload your images and provide necessary details such as titles, descriptions, and technical information.
6. Complete the Application: Review the submission and complete the application.</t>
  </si>
  <si>
    <t>1. High-Resolution Images (5-10 images as per category)
2. Image Descriptions and Titles
3. Photographer’s Statement (optional)
4. Personal Identification (for verification, if selected)</t>
  </si>
  <si>
    <t>44 (0)20 7886 3043</t>
  </si>
  <si>
    <t>World Photography Organisation, 9 Manchester Square, London, W1U 3PL, United Kingdom.</t>
  </si>
  <si>
    <t>press@worldphoto.org</t>
  </si>
  <si>
    <t>Sony World Photography Youth Award</t>
  </si>
  <si>
    <t>The Sony World Photography Youth Award is a part of the Sony World Photography Awards, created by the World Photography Organisation to encourage and recognize the creativity and talent of young photographers aged 12-19. The Youth Award aims to identify the best single images that showcase fresh perspectives and artistic potential. It provides a platform for young photographers to gain recognition, exposure, and career-boosting opportunities on a global scale.</t>
  </si>
  <si>
    <t>The Sony World Photography Youth Award is an annual international competition designed to inspire and reward the next generation of photographers. Open to individuals aged 12 to 19, the competition welcomes entries of a single image that reflects the photographer's creativity and understanding of their chosen theme. Each year, a theme is announced, encouraging participants to explore subjects creatively. The competition allows young photographers to express their unique perspectives and ideas, whether through landscapes, portraits, still life, or experimental techniques. Judges evaluate submissions based on originality, artistic expression, and technical quality. Winners of the Youth Award receive significant exposure, with their work being exhibited at the Sony World Photography Awards exhibition in London. The Youth Photographer of the Year also receives the latest Sony digital imaging equipment, making it a career-defining opportunity for emerging talents. The competition serves as a stepping stone for young photographers to build their portfolios, gain confidence, and connect with industry professionals.</t>
  </si>
  <si>
    <t>1. Visit the Official Website: Go to https://www.worldphoto.org/.
2. Create an Account: Register for a free account on the World Photography Organisation’s website.
3. Select the Youth Competition: Choose the Youth category and review the current year’s theme and guidelines.
4. Prepare Your Image: Select or create a single image that fits the competition’s theme.
5. Upload and Submit: Upload your image in the required format, add a title and description, and submit.
6. Review and Complete: Confirm your submission and await the announcement of results.</t>
  </si>
  <si>
    <t>1. High-Resolution Image (aligned with the year’s theme)
2. Image Title and Description
3. Proof of Age (ID for verification if shortlisted)</t>
  </si>
  <si>
    <t>https://www.youtube.com/watch?v=TQClLEALgrw</t>
  </si>
  <si>
    <t>The South Indian Bank (SIB) Scholarship Scheme is an initiative by South Indian Bank aimed at supporting financially underprivileged students in pursuing their higher education. The scheme is focused on providing financial assistance to meritorious students from economically disadvantaged backgrounds who are enrolled in government-aided schools/colleges in Kerala. The primary goal is to help students complete their education without financial constraints, thereby promoting the empowerment of deserving students.</t>
  </si>
  <si>
    <t>The South Indian Bank (SIB) Scholarship Scheme provides financial assistance to deserving students from economically weaker sections in Kerala. The scheme is specifically designed for students who have secured admission to government-aided schools/colleges and are pursuing higher secondary, undergraduate, or postgraduate courses. Eligible students can receive financial aid to cover expenses such as tuition fees, book allowances, and accommodation. To qualify, applicants must demonstrate academic merit and their family's income should fall below a specified threshold. The selection process involves assessing the applicant’s financial background and academic performance, ensuring that the scholarship reaches those who genuinely need it. The scholarship amount varies depending on the course and level of study and is usually disbursed annually to selected students. The scheme aims to encourage bright students to continue their education and pursue their career aspirations without financial worries.</t>
  </si>
  <si>
    <t>https://www.southindianbank.com/</t>
  </si>
  <si>
    <t>1. Visit the Official Website: Go to https://www.southindianbank.com/.
2. Locate the Scholarship Section: Search for the "SIB Scholarship Scheme" under the "Corporate Social Responsibility (CSR)" tab.
3. Check Eligibility Criteria: Verify if you meet the academic and financial eligibility requirements.
4. Download the Application Form: Download the application form and guidelines from the website.
5. Fill the Application Form: Provide your personal, academic, and family income details accurately.
6. Attach Required Documents: Collect and attach all the necessary documents as per the guidelines.
7. Submit the Application: Send the completed application form to the designated address mentioned in the guidelines.</t>
  </si>
  <si>
    <t>1. Income Certificate or Proof of Family Income
2. Academic Certificates and Mark Sheets
3. Admission Proof (if already enrolled in a course)
4. Identity Proof (Aadhaar Card, Passport, etc.)
5. Photographs (as required)
6. Recommendation Letter from School/College (if applicable)</t>
  </si>
  <si>
    <t>https://www.youtube.com/watch?v=dElNTKEa61s</t>
  </si>
  <si>
    <t>91-487-2420020</t>
  </si>
  <si>
    <t>The South Indian Bank Ltd., SIB House, Mission Quarters, Thrissur - 680001, Kerala, India.</t>
  </si>
  <si>
    <t>csr@southindianbank.com</t>
  </si>
  <si>
    <t>South Indian Bank Scholarship Scheme (SIB)</t>
  </si>
  <si>
    <t>The South Indian Bank (SIB) Scholarship Scheme is an initiative of the South Indian Bank that aims to provide financial aid to economically disadvantaged students in Kerala. The scheme is specifically designed to assist meritorious students pursuing higher education in government-aided colleges in Kerala. This scholarship ensures that deserving students can complete their education without financial stress and helps bridge the gap between their academic aspirations and financial limitations.</t>
  </si>
  <si>
    <t>The South Indian Bank (SIB) Scholarship Scheme is a financial assistance program targeted at supporting underprivileged yet deserving students from Kerala. Under this scheme, students enrolled in government-aided colleges in Kerala for undergraduate or postgraduate courses are eligible to receive financial assistance. The scholarship covers expenses like tuition fees, examination fees, hostel accommodation, and other related costs. The primary eligibility criteria for this scholarship include an academic merit component and an annual family income threshold. The scholarship aims to benefit students from families with limited financial means, ensuring that they receive the necessary support to pursue their academic dreams. This initiative by South Indian Bank is part of its Corporate Social Responsibility (CSR) focus on promoting education and empowering the youth of Kerala. Eligible students are selected based on their academic records, income details, and adherence to the bank's specific guidelines.</t>
  </si>
  <si>
    <t>1. Visit the Official Website: Go to https://www.southindianbank.com/.
2. Navigate to the CSR Section: Under the "Corporate Social Responsibility" tab, locate the SIB Scholarship Scheme.
3. Review Eligibility Criteria: Go through the eligibility requirements to ensure you qualify.
4. Download Application Form: Download the application form and read the guidelines.
5. Complete the Form: Fill in your personal, academic, and financial details accurately.
6. Attach Necessary Documents: Include the required documents (income proof, academic records, etc.) along with the form.
7. Submit the Form: Submit the completed form to the designated bank branch or as per instructions on the website.</t>
  </si>
  <si>
    <t>1. Income Certificate or Proof of Family Income
2. Academic Certificates/Mark Sheets
3. Proof of Admission
4. Identity Proof (Aadhaar Card, Passport, etc.)
5. Passport-Sized Photographs
6. Recommendation Letter from College (if needed)</t>
  </si>
  <si>
    <t>The State Government Open Merit Scholarship is a financial aid program offered by the Government of Maharashtra to students pursuing higher education within the state. The scholarship is intended for students who have passed their Class 12 examinations with high academic scores and wish to continue their education at the undergraduate level in various streams. The primary aim is to encourage meritorious students by providing them with financial assistance and motivating them to achieve academic excellence.</t>
  </si>
  <si>
    <t>The State Government Open Merit Scholarship, Maharashtra is designed to support meritorious students in the state who wish to pursue undergraduate studies after successfully completing their Class 12 (HSC) exams. The scholarship is open to students from all streams, including Science, Commerce, and Arts. To be eligible, students must have secured a minimum of 60% in their Class 12 exams from a recognized board within Maharashtra. The financial aid provided under this scholarship can be utilized for academic expenses, including tuition fees, books, and other educational needs. The scholarship amount is disbursed annually to selected students, and applicants are required to renew their applications each academic year to continue receiving benefits. The scholarship aims to bridge the gap between talent and financial constraints, ensuring that students with good academic records can complete their education and pursue higher studies without economic hindrance. This initiative by the Government of Maharashtra plays a key role in empowering bright students from economically weaker sections and fostering the overall growth of education in the state.</t>
  </si>
  <si>
    <t>https://mahadbtmahait.gov.in/</t>
  </si>
  <si>
    <t>1. Visit the Official Website: Go to https://mahadbtmahait.gov.in/.
2. Register on MahaDBT Portal: Create an account on the Maharashtra Direct Benefit Transfer (DBT) Portal.
3. Fill in the Application Form: Log in to your account, complete the application form by providing personal, academic, and income details.
4. Upload Required Documents: Upload all necessary documents (marksheets, income certificate, etc.) in the prescribed format.
5. Submit the Application: Review and submit the completed application for processing.
6. Check Application Status: Track your application status regularly on the MahaDBT Portal.</t>
  </si>
  <si>
    <t>1. Class 12 Marksheet (with a minimum of 60% marks)
2. Bonafide Certificate (from the college/institution)
3. Domicile Certificate (proving Maharashtra residency)
4. Income Certificate (proof of family income)
5. Aadhaar Card (or any valid government-issued ID proof)
6. Bank Passbook (for bank account details)</t>
  </si>
  <si>
    <t>https://www.youtube.com/watch?v=TGfbeQNe_L8</t>
  </si>
  <si>
    <t>Social Welfare Department, Government of Maharashtra, Mantralaya, Mumbai, Maharashtra, India.</t>
  </si>
  <si>
    <t>helpdesk.mahadbt@maharashtra.gov.in</t>
  </si>
  <si>
    <t>The State Merit Scholarship, Kerala is an initiative by the Directorate of Collegiate Education, Government of Kerala, to provide financial aid to meritorious students pursuing higher education within the state. This scholarship aims to reward students with outstanding academic records who are enrolled in undergraduate or postgraduate courses. By recognizing and supporting bright students, the scheme seeks to encourage academic excellence and facilitate access to quality education.</t>
  </si>
  <si>
    <t>The State Merit Scholarship, Kerala is designed to support students pursuing undergraduate and postgraduate courses in recognized institutions within Kerala. To be eligible for the scholarship, applicants must have scored at least 50% marks in their qualifying examination and belong to a family with an annual income of less than INR 1 lakh. Under this scheme, a fixed number of scholarships are awarded annually to students based on merit. The scholarship provides a financial grant of INR 1,250 per annum for undergraduate students and INR 1,500 per annum for postgraduate students. This amount is intended to help cover the cost of educational expenses, such as tuition fees, books, and other academic needs. Students can apply for the scholarship through the state’s dedicated scholarship portal, and the selection is done based on merit and financial need. This initiative by the Government of Kerala plays a crucial role in making higher education accessible to talented students from economically weaker backgrounds and promoting inclusive growth in the state’s education sector.</t>
  </si>
  <si>
    <t>https://www.dcescholarship.kerala.gov.in/</t>
  </si>
  <si>
    <t>1. Visit the Official Website: Go to https://www.dcescholarship.kerala.gov.in/.
2. Register on the Portal: Create an account on the Directorate of Collegiate Education (DCE) Scholarship Portal.
3. Fill in the Application Form: Log in to your account and complete the application form with personal and academic details.
4. Upload Required Documents: Upload all necessary documents in the prescribed format.
5. Submit the Application: Review your form and submit it for processing.
6. Check Application Status: Track your application status regularly on the portal.</t>
  </si>
  <si>
    <t>1. Previous Academic Year’s Marksheet (with a minimum of 50% marks)
2. Domicile Certificate (proving Kerala residency)
3. Income Certificate (showing an annual family income of less than INR 1 lakh)
4. Aadhaar Card (or any valid government-issued ID proof)
5. Bank Passbook Copy (for bank account details)
6. Course Admission Proof (for newly enrolled students)</t>
  </si>
  <si>
    <t>https://www.youtube.com/watch?v=cL51RNPGNh0</t>
  </si>
  <si>
    <t>0471-2326580</t>
  </si>
  <si>
    <t>Directorate of Collegiate Education, Vikas Bhavan, Thiruvananthapuram, Kerala, India.</t>
  </si>
  <si>
    <t>dcedirectorate@gmail.com</t>
  </si>
  <si>
    <t>The Strathclyde Business School Dean’s Excellence Awards are prestigious scholarships offered by the University of Strathclyde, Glasgow, aimed at recognizing and supporting academically brilliant students. These awards are designed for students applying to postgraduate and undergraduate courses at the Strathclyde Business School. The scholarships are merit-based, focusing on the academic achievements of applicants and their potential to contribute positively to the business community.</t>
  </si>
  <si>
    <t>The Strathclyde Business School Dean’s Excellence Awards aim to attract outstanding students who demonstrate exceptional academic performance and leadership potential. The awards are open to both domestic and international students applying to undergraduate or postgraduate programs at Strathclyde Business School. The selection criteria for these awards are primarily based on academic merit, but the university also considers leadership skills, relevant experience, and a demonstrated commitment to excellence. Award amounts vary, offering partial funding for tuition fees depending on the program. Typically, the scholarships are granted as a tuition fee discount, helping students alleviate the financial burden of their education. Candidates are required to submit an additional application form or statement highlighting their achievements and aspirations, alongside their program application. The university's goal through these awards is to develop a diverse cohort of future business leaders and professionals. Recipients benefit not only from financial assistance but also from the networking and professional growth opportunities offered by the business school.</t>
  </si>
  <si>
    <t>https://www.strath.ac.uk/business/</t>
  </si>
  <si>
    <t>1. Visit the Official Website: Go to https://www.strath.ac.uk/business/.
2. Choose Your Program: Select the undergraduate or postgraduate program you wish to apply for.
3. Submit Your Application for Admission: Apply to the desired program at Strathclyde Business School.
4. Apply for the Scholarship: Once you have applied for admission, fill out the Dean’s Excellence Award application form, available on the university’s scholarship portal.
5. Provide Supporting Documents: Attach relevant documents such as transcripts, personal statements, and proof of achievements.
6. Submit the Scholarship Application: Review and submit the completed application form before the deadline.</t>
  </si>
  <si>
    <t>1. Academic Transcripts (indicating high academic achievement)
2. Personal Statement (highlighting leadership experience and goals)
3. Proof of Admission or Program Application
4. Professional References (if applicable)
5. Proof of Achievements (certificates, awards, etc.)</t>
  </si>
  <si>
    <t>https://www.youtube.com/watch?v=1S2Uuv9JyP0</t>
  </si>
  <si>
    <t>44 (0)141 548 4114</t>
  </si>
  <si>
    <t>Strathclyde Business School, University of Strathclyde, 199 Cathedral Street, Glasgow, G4 0QU, United Kingdom.</t>
  </si>
  <si>
    <t>sbs-admissions@strath.ac.uk</t>
  </si>
  <si>
    <t>The Suvarna Jubilee Merit Scholarship is a financial aid initiative by the Government of Kerala to support economically disadvantaged students who have excelled academically. This scholarship is awarded to students enrolled in undergraduate and postgraduate courses in government-aided institutions in Kerala. It aims to encourage meritorious students from low-income families to pursue higher education without financial worries.</t>
  </si>
  <si>
    <t>The Suvarna Jubilee Merit Scholarship, Kerala is designed for students pursuing undergraduate or postgraduate studies in recognized institutions within Kerala. The scholarship is specifically targeted at students from families with an annual income of less than INR 1 lakh. It provides financial assistance to help cover educational expenses such as tuition fees and books. To be eligible, students must have passed their previous qualifying examination (Class 12 or equivalent) with a minimum of 50% marks. The scholarship amount is disbursed annually to selected students based on a merit-cum-means criteria. The initiative is part of the Kerala government’s efforts to promote inclusive education and ensure that financial challenges do not hinder deserving students from achieving their academic goals. Students are required to apply through the state’s dedicated scholarship portal, and they must renew their applications each academic year to continue receiving benefits.</t>
  </si>
  <si>
    <t>1. Visit the Official Website: Go to https://www.dcescholarship.kerala.gov.in/.
2. Register on the Portal: Create an account on the Directorate of Collegiate Education (DCE) Scholarship Portal.
3. Fill in the Application Form: Log in and complete the application form with your personal and academic details.
4. Upload Required Documents: Upload all necessary documents in the prescribed format.
5. Submit the Application: Review your form and submit it for processing.
6. Track Application Status: Regularly check the portal to track the status of your application.</t>
  </si>
  <si>
    <t>1. Previous Academic Year’s Marksheet (with at least 50% marks)
2. Domicile Certificate (proving Kerala residency)
3. Income Certificate (proving an annual family income of less than INR 1 lakh)
4. Aadhaar Card (or any valid government-issued ID proof)
5. Bank Passbook Copy (for bank account details)
6. Course Admission Proof (for newly enrolled students)</t>
  </si>
  <si>
    <t>https://www.youtube.com/watch?v=FQv6T_FcNwY</t>
  </si>
  <si>
    <t>The Swami Dayanand Education Foundation Merit-cum-Means Scholarships are offered by the Swami Dayanand Charitable Education Foundation to provide financial assistance to deserving students pursuing professional courses in India. The primary aim is to help meritorious students from economically weaker sections of society to achieve their educational goals in fields such as engineering, medical studies, and other professional courses.</t>
  </si>
  <si>
    <t>The Swami Dayanand Education Foundation Merit-cum-Means Scholarships are awarded to academically bright students who face financial hardships. The scholarships are intended for students pursuing professional courses like Engineering, MBBS, IT, Pharmacy, and others at government or private institutions in India. To be eligible, candidates must have secured at least 85% in their Class 12 examinations and have a family income not exceeding INR 6 lakh per annum. The foundation offers various types of scholarships under this scheme, with financial aid ranging from INR 15,000 to INR 50,000 per year based on the student's academic performance and financial needs. Selection is primarily merit-based but also considers family income and the institution’s reputation. By offering these scholarships, the foundation aims to empower and uplift students from underprivileged backgrounds, enabling them to achieve success in their respective fields and contribute to society. This initiative supports hundreds of students each year and promotes inclusivity in professional education.</t>
  </si>
  <si>
    <t>https://www.swamidayanand.org/</t>
  </si>
  <si>
    <t>1. Visit the Official Website: Go to https://www.swamidayanand.org/.
2. Register on the Portal: Create an account by registering on the scholarship portal.
3. Fill in the Application Form: Complete the application form by providing your personal, academic, and family income details.
4. Upload Required Documents: Attach scanned copies of all necessary documents (marksheets, income proof, etc.) in the prescribed format.
5. Submit the Application: Review and submit the completed application form before the deadline.
6. Check Application Status: Track your application status regularly on the portal.</t>
  </si>
  <si>
    <t>1. Class 12 Marksheet (with at least 85% marks)
2. Bonafide Certificate (from the current institution)
3. Family Income Certificate (proof of income not exceeding INR 6 lakh)
4. Aadhaar Card (or any valid government-issued ID proof)
5. Bank Account Details (copy of passbook or cancelled cheque)
6. Proof of Admission (for newly admitted students)</t>
  </si>
  <si>
    <t>https://www.youtube.com/watch?v=1O2cjvov2YI</t>
  </si>
  <si>
    <t>91-11-43102474</t>
  </si>
  <si>
    <t>Swami Dayanand Charitable Education Foundation, 24, Rani Jhansi Road, New Delhi – 110055, India.</t>
  </si>
  <si>
    <t>info@swamidayanand.org</t>
  </si>
  <si>
    <t>The Swami Vivekananda Merit Cum Means Scholarship for Minorities, also known as the SVMCM, is an initiative by the Government of West Bengal. It aims to support meritorious students from minority communities who face financial challenges in pursuing higher education. This scholarship encourages students at various academic levels, including higher secondary, undergraduate, postgraduate, and professional courses, to continue their education and build a strong foundation for a successful future.</t>
  </si>
  <si>
    <t>The Swami Vivekananda Merit Cum Means Scholarship for Minorities (West Bengal) is aimed at providing financial assistance to students from minority communities, including Muslim, Christian, Sikh, Buddhist, and other minority groups. This scholarship is open to students studying at different levels, ranging from higher secondary to postgraduate, professional, and technical courses in recognized institutions within West Bengal. To be eligible, students must have secured a minimum of 75% marks in their previous qualifying examination and belong to a family with an annual income not exceeding INR 2.5 lakh. The scholarship is awarded based on the student’s academic performance and financial need. The financial aid is offered as an annual stipend, with varying amounts depending on the course of study. The initiative seeks to uplift students from minority communities, ensuring that financial constraints do not hinder their academic ambitions. The scholarship covers educational expenses, thus enabling recipients to focus on their studies and excel in their chosen fields.</t>
  </si>
  <si>
    <t>https://svmcm.wbhed.gov.in/</t>
  </si>
  <si>
    <t>1. Visit the Official Website: Go to https://svmcm.wbhed.gov.in/.
2. Register on the Portal: Create an account by registering on the SVMCM Scholarship Portal.
3. Complete the Application Form: Log in and fill in the application form with personal, academic, and income details.
4. Upload Required Documents: Upload the necessary documents in the prescribed format.
5. Submit the Application: Review and submit the completed form.
6. Check Application Status: Monitor the status of your application on the portal.</t>
  </si>
  <si>
    <t>1. Marksheet of the Previous Qualifying Examination (minimum of 75% marks required)
2. Domicile Certificate (proof of West Bengal residency)
3. Minority Community Certificate (as applicable)
4. Income Certificate (family income not exceeding INR 2.5 lakh)
5. Aadhaar Card (or any valid government-issued ID proof)
6. Bank Account Details (copy of passbook or cancelled cheque)</t>
  </si>
  <si>
    <t>https://www.youtube.com/watch?v=CpIqg1pGUTw</t>
  </si>
  <si>
    <t>1800-102-8014</t>
  </si>
  <si>
    <t>West Bengal Minorities Development &amp; Finance Corporation (WBMDFC), AMBER, DD-27/E, Sector-I, Salt Lake, Kolkata-700064, West Bengal, India.</t>
  </si>
  <si>
    <t>helpdesk.svmcm-wb@gov.in</t>
  </si>
  <si>
    <t>The Tata Housing Scholarships for Meritorious Girl Students is an initiative by Tata Housing Development Company Limited, designed to support and empower academically talented girls from financially challenged backgrounds. This scholarship focuses on encouraging higher education among meritorious girl students, especially in the fields of Civil Engineering, Architecture, and related technical streams. It aims to promote gender equality and improve the representation of women in these sectors.</t>
  </si>
  <si>
    <t>The Tata Housing Scholarships for Meritorious Girl Students is a targeted scheme offering financial aid to female students who are pursuing undergraduate courses in Civil Engineering, Architecture, and other technical fields. The scholarship is specifically aimed at girls from economically weaker sections of society, with an annual family income of less than INR 3 lakh. The scholarship amount provided ranges up to INR 60,000 annually, which helps cover educational expenses such as tuition fees, study materials, and other academic costs. To be eligible, applicants must have scored at least 60% marks in their Class 12 examinations and should be enrolled in a full-time undergraduate course in a recognized institution. The selection process involves evaluating the academic performance, financial background, and a personal statement explaining the candidate's aspirations and future goals. This initiative by Tata Housing not only offers financial support but also emphasizes the importance of education for girls, fostering their growth and participation in technical domains traditionally dominated by males.</t>
  </si>
  <si>
    <t>https://www.tatahousing.in/</t>
  </si>
  <si>
    <t>1. Visit the Official Website: Go to https://www.tatahousing.in/.
2. Register on the Scholarship Portal: Create an account or log in if you’re an existing user.
3. Fill in the Application Form: Complete the application form by providing your personal, academic, and family income details.
4. Upload Required Documents: Upload the necessary documents, including academic certificates and income proof, in the prescribed format.
5. Submit the Application: Review and submit the completed form before the deadline.
6. Check Application Status: Monitor your application status on the portal.</t>
  </si>
  <si>
    <t>1. Class 12 Marksheet (with a minimum of 60% marks)
2. Proof of Admission (to a recognized institution)
3. Income Certificate (showing family income of less than INR 3 lakh)
4. Domicile Certificate (if required)
5. Aadhaar Card (or any valid government-issued ID proof)
6. Bank Account Details (copy of passbook or cancelled cheque)</t>
  </si>
  <si>
    <t>https://www.youtube.com/watch?v=y9erDBNP0FE</t>
  </si>
  <si>
    <t>91-22-66614444</t>
  </si>
  <si>
    <t>Tata Housing Development Company Limited, Times Tower, 12th Floor, Kamala Mills Compound, Senapati Bapat Marg, Lower Parel, Mumbai - 400013, Maharashtra, India.</t>
  </si>
  <si>
    <t>csr@tatahousing.com</t>
  </si>
  <si>
    <t>The Technical Education Scholarships for PG/Degree/Engineering Courses in Himachal Pradesh is a government initiative aimed at financially supporting students pursuing higher education in technical fields. The scholarship is designed for students enrolled in postgraduate, degree, and engineering courses in recognized institutions within Himachal Pradesh. It helps deserving students continue their education by alleviating financial burdens, especially for those belonging to economically weaker sections.</t>
  </si>
  <si>
    <t>The Technical Education Scholarships for PG/Degree/Engineering Courses, Himachal Pradesh aim to provide financial assistance to students pursuing higher studies in technical fields such as engineering, management, and postgraduate courses. This initiative is part of the Himachal Pradesh government’s effort to encourage talented students to pursue technical education without financial constraints. Eligible students must be residents of Himachal Pradesh and enrolled in a recognized institution offering technical or professional degrees. Preference is given to students from economically disadvantaged families, and the amount of financial aid varies depending on the course and the student's financial background. Scholarships are disbursed annually and are designed to cover a portion of tuition fees and other educational expenses. Candidates are selected based on their academic performance, course of study, and family income. The scholarship aims to bridge the financial gap for meritorious students, allowing them to focus on their studies and achieve academic excellence.</t>
  </si>
  <si>
    <t>https://himachal.nic.in/</t>
  </si>
  <si>
    <t>1. Visit the Official Website: Go to https://himachal.nic.in/.
2. Register on the Scholarship Portal: Create an account on the Himachal Pradesh scholarship portal.
3. Fill in the Application Form: Log in and provide the required information about your personal, academic, and family income details.
4. Upload Required Documents: Upload all necessary documents, including marksheets and income certificates.
5. Submit the Application: Review and submit the form before the deadline.
6. Check Application Status: Keep track of your application’s progress on the portal.</t>
  </si>
  <si>
    <t>1. Previous Academic Marksheet (minimum required marks as per the course)
2. Bonafide Certificate (from the current institution)
3. Domicile Certificate (proving Himachal Pradesh residency)
4. Income Certificate (to establish financial need)
5. Aadhaar Card (or any valid government-issued ID proof)
6. Bank Account Details (for scholarship disbursement)</t>
  </si>
  <si>
    <t>0177-2623674</t>
  </si>
  <si>
    <t>Directorate of Technical Education, Sundernagar, District Mandi, Himachal Pradesh - 175018, India.</t>
  </si>
  <si>
    <t>techedu-hp@nic.in</t>
  </si>
  <si>
    <t>The Technical Education Scholarships for PG/Degree/Engineering Courses in Himachal Pradesh is a state government initiative aimed at financially supporting students pursuing higher education in technical fields. This scholarship provides financial assistance to students enrolled in postgraduate, undergraduate, and engineering courses, helping them manage the costs of their education, especially those coming from economically weaker sections of society.</t>
  </si>
  <si>
    <t>The Technical Education Scholarships for PG/Degree/Engineering Courses, Himachal Pradesh is a program developed by the state government to support students in pursuing technical education at recognized institutions. This scholarship is open to Himachali students enrolled in professional and technical courses like engineering, management, and postgraduate degrees in recognized universities or colleges. The scheme targets students with a minimum required academic performance and considers family income as a key criterion. Students must provide evidence of residence in Himachal Pradesh and must be pursuing courses in a government-approved institution. Financial assistance under this scholarship varies depending on the course and the student’s socioeconomic status. The primary objective of the scholarship is to ensure that talented and deserving students are not deprived of higher education opportunities due to financial difficulties. The amount of aid provided typically covers tuition fees, examination fees, and other essential educational expenses. The scholarship is disbursed on a yearly basis and renewable based on satisfactory academic performance.</t>
  </si>
  <si>
    <t>1. Visit the Official Website: Go to https://himachal.nic.in/.
2. Register on the Scholarship Portal: Create an account or log in if you’re an existing user.
3. Complete the Application Form: Fill in the application form with your personal, academic, and family income details.
4. Upload Required Documents: Attach the necessary documents in the prescribed format.
5. Submit the Application: Review and submit your application before the deadline.
6. Check Application Status: Keep checking the portal to monitor your application status.</t>
  </si>
  <si>
    <t>1. Marksheet of Previous Qualifying Examination (minimum required marks as per the course)
2. Bonafide Certificate (from the current institution)
3. Domicile Certificate (proof of Himachal Pradesh residency)
4. Income Certificate (proving annual family income as per eligibility criteria)
5. Aadhaar Card (or other valid government-issued ID proof)
6. Bank Account Details (copy of passbook or cancelled cheque)</t>
  </si>
  <si>
    <t>The Technip India Scholarship Program for Engineering Students is an initiative by Technip Energies, aimed at supporting and empowering engineering students from economically disadvantaged backgrounds. This scholarship program seeks to enhance educational opportunities in the engineering sector, fostering talent and encouraging young individuals to pursue careers in engineering, especially in fields relevant to the oil and gas industry and other technological sectors.</t>
  </si>
  <si>
    <t>The Technip India Scholarship Program for Engineering Students provides financial assistance to undergraduate engineering students enrolled in recognized institutions across India. The scholarship targets students from economically weaker sections, aiming to ease their financial burden and allow them to focus on their studies without monetary stress. Eligible candidates must be pursuing a full-time engineering degree in any branch from a recognized university and must have demonstrated strong academic performance, typically requiring a minimum of 60% marks in their previous examinations. The scholarship amount varies based on the student's needs and the institution they attend, with an emphasis on supporting students who show promise in their engineering studies. Technip Energies emphasizes not only financial assistance but also mentoring and support throughout the scholarship duration, thereby enhancing the educational experience and professional prospects of the recipients. This program is part of Technip's broader commitment to corporate social responsibility and sustainable development, aiming to contribute positively to the community and the future of engineering in India.</t>
  </si>
  <si>
    <t>https://www.technipenergies.com/</t>
  </si>
  <si>
    <t>1. Visit the Official Website: Go to Technip Energies.
2. Locate the Scholarship Section: Find the scholarship program details on the website.
3. Register on the Portal: Create an account or log in if you’re an existing user.
4. Fill in the Application Form: Provide your personal, academic, and financial details.
5. Upload Required Documents: Attach the necessary documents as specified in the application guidelines.
6. Submit the Application: Review your application and submit it before the deadline.
7. Check Application Status: Monitor your application status on the scholarship portal.</t>
  </si>
  <si>
    <t>1. Marksheet of Previous Examinations (with a minimum of 60% marks)
2. Proof of Admission (to a recognized engineering institution)
3. Income Certificate (proving financial need)
4. Aadhaar Card (or any valid government-issued ID proof)
5. Bank Account Details (copy of passbook or cancelled cheque)</t>
  </si>
  <si>
    <t>https://www.youtube.com/watch?v=Lox-5sLpJVY</t>
  </si>
  <si>
    <t>91-22-61717000</t>
  </si>
  <si>
    <t>Technip Energies, 9th Floor, Sagar Tech Plaza, Sakinaka, Andheri (E), Mumbai - 400072, Maharashtra, India.</t>
  </si>
  <si>
    <t>info@technipenergies.com</t>
  </si>
  <si>
    <t>Ted Fellowship</t>
  </si>
  <si>
    <t>The TED Fellowship is a prestigious program designed to support exceptional individuals who are emerging leaders in their respective fields. This fellowship aims to bring together innovators, entrepreneurs, and change-makers from various disciplines to share their ideas, inspire others, and collaborate on solutions to global challenges. TED Fellows are selected based on their achievements, potential, and passion for making a positive impact in the world.</t>
  </si>
  <si>
    <t xml:space="preserve">The TED Fellowship offers a unique opportunity for talented individuals to join a community of like-minded innovators and leaders. Selected fellows receive mentorship, networking opportunities, and access to TED's global community. The program is open to individuals from various sectors, including science, technology, art, social change, and entrepreneurship. TED Fellows participate in TED events, where they can showcase their ideas and work, gaining visibility and support for their projects. The fellowship provides financial assistance to cover the costs of attending TED events, along with personalized mentorship to help fellows refine their ideas and expand their impact. Applicants are evaluated based on their accomplishments, vision, and the potential for their work to influence change. The TED Fellowship fosters collaboration and creates a platform for fellows to connect with influential leaders and innovators, enhancing their ability to drive meaningful change in their communities and beyond.
</t>
  </si>
  <si>
    <t>https://www.ted.com/participate/ted-fellows-program</t>
  </si>
  <si>
    <t>1. Visit the Official Website: Go to TED Fellowship.
2. Review Eligibility Criteria: Ensure you meet the requirements for the fellowship.
3. Prepare Your Application: Gather necessary materials, including a personal statement and any supporting documents.
4. Fill in the Application Form: Complete the online application form on the TED website.
5. Submit Your Application: Review all entries and submit your application before the deadline.
6. Wait for Notification: Selected candidates will be notified via email regarding their application status.</t>
  </si>
  <si>
    <t>1. Resume/CV: Highlighting your achievements and experiences.
2. Personal Statement: Explaining your work, vision, and why you want to be a TED Fellow.
3. Recommendations: Letters from mentors or professionals who can speak to your potential and impact.
4. Supporting Materials: Any additional documents or portfolios that demonstrate your work.</t>
  </si>
  <si>
    <t>https://www.youtube.com/watch?v=bu2bC-esrd0</t>
  </si>
  <si>
    <t>TED Conferences, LLC, 348 West 57th Street, 7th Floor, New York, NY 10019, USA.</t>
  </si>
  <si>
    <t>fellows@ted.com</t>
  </si>
  <si>
    <t>The Artist's Magazine's Over 60 Art Competition</t>
  </si>
  <si>
    <t>The Artist's Magazine's Over 60 Art Competition is an annual contest specifically designed for artists aged 60 and above. This competition aims to celebrate the creativity and achievements of senior artists, encouraging them to showcase their talents and gain recognition. The competition is open to a variety of mediums and styles, allowing seasoned artists to share their artistic journey and demonstrate their skills on a prominent platform.</t>
  </si>
  <si>
    <t>The Over 60 Art Competition by The Artist’s Magazine is dedicated to honoring and showcasing the exceptional talent of artists aged 60 and older. The competition invites entries from artists working in various mediums, including oil, watercolor, acrylic, pastel, and mixed media, as well as drawing and sculpture. The contest provides an opportunity for senior artists to gain recognition for their work and to have their art featured in The Artist’s Magazine, a respected publication in the art community. Winners of the competition are selected by a panel of judges and receive cash prizes along with the chance to be published in the magazine. The contest serves as an excellent platform for experienced artists to share their creativity with a larger audience, and it recognizes the value of artistic expression at all stages of life. The competition aims to inspire and motivate older artists, celebrating their contributions to the art world.</t>
  </si>
  <si>
    <t>https://www.artistsnetwork.com/</t>
  </si>
  <si>
    <t>1. Visit the Official Website: Go to https://www.artistsnetwork.com/.
2. Navigate to the Competitions Section: Look for the Over 60 Art Competition details.
3. Review Eligibility and Rules: Ensure you meet the age and submission requirements.
4. Register and Pay Entry Fee: Create an account and pay the necessary entry fee.
5. Submit Your Artwork: Follow the guidelines to upload high-resolution images of your artwork.
6. Complete the Application: Provide all required details and finalize your entry.</t>
  </si>
  <si>
    <t>1. High-Resolution Images of your artwork in the accepted formats.
2. Artist’s Bio and a brief description of the submitted artwork.
3. Proof of Age (if required for verification).</t>
  </si>
  <si>
    <t>https://www.youtube.com/watch?v=F-7khFXZAFM</t>
  </si>
  <si>
    <t>1 855-842-5267</t>
  </si>
  <si>
    <t>Artists Network, 9912 Carver Road, Blue Ash, OH 45242, USA.</t>
  </si>
  <si>
    <t>info@artistsnetwork.com</t>
  </si>
  <si>
    <t>The Hindu Playwright Award is an esteemed recognition established to honor and promote original playwriting in India. This award aims to encourage playwrights by providing them with a platform to showcase their work and gain recognition in the theatre community. It is open to writers from diverse backgrounds, fostering a culture of creativity and artistic expression in the Indian theatre scene.</t>
  </si>
  <si>
    <t>The Hindu Playwright Award is designed to recognize and celebrate the contributions of playwrights in India. This prestigious award is presented annually and is open to submissions of original plays in any language, though English and regional languages are particularly encouraged. The competition aims to discover new talent and promote innovative narratives that reflect contemporary societal issues and artistic sensibilities. The selection process involves a panel of esteemed judges from the field of theatre, who evaluate the entries based on originality, creativity, and impact. The winner of the award receives not only a monetary prize but also the opportunity for their play to be staged or produced, thereby gaining visibility within the theatre community. Additionally, the award fosters collaboration among artists, encouraging dialogues about the importance of theatre in society. By supporting emerging and established playwrights alike, The Hindu Playwright Award plays a crucial role in enriching India's theatrical landscape.</t>
  </si>
  <si>
    <t>https://www.thehindu.com/theatre-fest/playwright-award/</t>
  </si>
  <si>
    <t>1. Visit the Official Website: Go to The Hindu.
2. Locate the Playwright Award Section: Find the details related to the Playwright Award.
3. Review Eligibility and Guidelines: Ensure your play meets the submission criteria.
4. Prepare Your Submission: Format your play as per the guidelines provided.
5. Submit Your Play: Follow the instructions to submit your work online or via the specified method.
6. Await Announcement: Keep an eye on the official website for results and further announcements.</t>
  </si>
  <si>
    <t>1. A Full Script of the Play: Must be an original work.
2. Cover Letter: Briefly explaining your vision and the theme of the play.
3. Author’s Bio: A short biography detailing your background and experience in theatre.
4. Any Previous Work (optional): Samples of past plays or productions.</t>
  </si>
  <si>
    <t>91-44-2857-1200</t>
  </si>
  <si>
    <t>The Hindu, 859-863, Anna Salai, Chennai – 600002, India.</t>
  </si>
  <si>
    <t>editor@thehindu.co.in</t>
  </si>
  <si>
    <t>The Toto Music Award is an annual recognition aimed at promoting and celebrating musical talent in various genres, particularly focusing on emerging artists and bands. Established in honor of the legacy of Toto, a renowned musical figure, this award seeks to provide a platform for musicians to showcase their work and gain visibility within the industry. It encourages creativity, innovation, and diversity in music.</t>
  </si>
  <si>
    <t>The Toto Music Award highlights the contributions of both established and up-and-coming artists across a spectrum of musical genres, including but not limited to pop, rock, classical, and traditional music. The award serves as a means to recognize outstanding musical achievements, offering winners not just accolades but also opportunities for exposure and professional development. Participants are evaluated based on their musical compositions, performances, and overall artistic expression. The selection process involves a panel of industry experts who assess entries based on originality, quality, and impact. Winners of the Toto Music Award often receive monetary prizes, recording opportunities, and invitations to perform at prestigious events, enhancing their career prospects. This award aims to foster a vibrant musical community, encouraging collaboration among artists and promoting the rich tapestry of musical talent present in the region.</t>
  </si>
  <si>
    <t>https://totofundsthearts.org/awards/music</t>
  </si>
  <si>
    <t>1. Visit the Official Website: Go to the Toto Music Award website.
2. Review Eligibility and Guidelines: Ensure you meet the requirements for submission.
3. Prepare Your Submission: Gather your music files, biography, and any other required materials.
4. Complete the Application Form: Fill in the online application form as per instructions.
5. Submit Your Music: Upload your music tracks along with any additional documents.
6. Await Announcement: Monitor the official website for results and updates on the award ceremony.</t>
  </si>
  <si>
    <t>1. Music Tracks: A specified number of original compositions or recordings.
2. Artist Biography: A brief background about you and your musical journey.
3. Cover Letter: Explaining your submission and artistic vision.
4. Previous Work Samples (optional): Links or files showcasing past performances or albums.</t>
  </si>
  <si>
    <t>https://www.youtube.com/watch?v=iq_p3K-ib-E</t>
  </si>
  <si>
    <t>H 301, Adarsh Gardens,
47th Cross, 8th Block,
Jayanagar, Bengaluru – 560 070, India.</t>
  </si>
  <si>
    <t>info@totomusicawards.com</t>
  </si>
  <si>
    <t>TRACE International Scholarship</t>
  </si>
  <si>
    <t>The TRACE International Scholarship is a prestigious award aimed at supporting students from developing countries who aspire to pursue higher education in the field of anti-corruption and transparency studies. This scholarship reflects TRACE's commitment to fostering ethical business practices and governance by empowering the next generation of leaders to combat corruption and promote transparency on a global scale.</t>
  </si>
  <si>
    <t>The TRACE International Scholarship is designed for students who are dedicated to making a difference in their communities and countries by pursuing studies related to anti-corruption, governance, and ethical business practices. The scholarship is open to candidates who have been accepted into a master's degree program at an accredited university. Recipients of the TRACE Scholarship benefit from financial support, which may cover tuition fees, living expenses, and other academic costs. The selection process is highly competitive, focusing on the applicant's academic achievements, leadership potential, and commitment to ethical practices. Scholars are also encouraged to engage in extracurricular activities that promote anti-corruption and transparency initiatives within their communities. This scholarship not only aids in alleviating the financial burden of education but also creates a network of future leaders committed to integrity and accountability in business and governance.</t>
  </si>
  <si>
    <t>https://www.traceinternational.org/trace-foundation</t>
  </si>
  <si>
    <t>1. Visit the Official Website: Go to TRACE International.
2. Review Eligibility Criteria: Ensure you meet the academic and other requirements for the scholarship.
3. Prepare Your Application: Gather necessary documents, including a personal statement, academic records, and recommendations.
4. Complete the Online Application Form: Fill in all required fields accurately.
5. Submit Your Application: Ensure all documents are uploaded and submit your application by the deadline.
6. Monitor Application Status: Check your email for updates regarding your application status.</t>
  </si>
  <si>
    <t>1. Academic Transcripts: From previous educational institutions.
2. Personal Statement: Outlining your goals and motivation for applying.
3. Letters of Recommendation: Typically two, from professors or professionals who can attest to your qualifications.
4. Proof of Admission: To a master’s degree program at an accredited institution.
5. Resume/CV: Highlighting your academic and professional achievements.</t>
  </si>
  <si>
    <t>https://www.youtube.com/watch?v=OJnnCwgvEC0</t>
  </si>
  <si>
    <t>1 202-509-0060</t>
  </si>
  <si>
    <t>TRACE International, 750 First Street NE, Suite 1130, Washington, DC 20002, USA.</t>
  </si>
  <si>
    <t>info@traceinternational.org</t>
  </si>
  <si>
    <t>Travel Photography Scholarships</t>
  </si>
  <si>
    <t>The World Nomads Travel Photography Scholarship is designed to support aspiring travel photographers by providing them with the opportunity to explore the world while developing their photography skills. This scholarship encourages storytellers to capture unique perspectives and experiences through their lenses, emphasizing the importance of cultural understanding and connection.</t>
  </si>
  <si>
    <t>The World Nomads scholarship program typically includes funding for a travel photography project, along with mentorship from established photographers. Applicants are required to submit a portfolio showcasing their best work, as well as a proposal detailing their intended travel plans and the stories they wish to tell through their photography. The selection process focuses on creativity, narrative potential, and the applicant’s passion for travel and photography. Winners may receive financial support for their travel expenses, as well as guidance from experienced mentors to help refine their skills and artistic vision.</t>
  </si>
  <si>
    <t>https://www.worldnomads.com/create/scholarships</t>
  </si>
  <si>
    <t>1. Check for Announcements: Visit the World Nomads website to find details about the scholarship application period.
2. Prepare Your Portfolio: Curate a selection of your best travel photographs that showcase your unique style and storytelling ability.
3. Write Your Proposal: Outline your travel plans, the stories you want to capture, and how you intend to use photography to convey these narratives.
4. Submit Your Application: Follow the instructions provided on the website to submit your portfolio and proposal before the deadline.
5. Await Results: Keep an eye on your email and the website for announcements regarding the winners.</t>
  </si>
  <si>
    <t>1. Portfolio: A collection of your best travel photographs (typically around 10 images).
2. Project Proposal: A detailed description of your travel plans and the stories you wish to document.
3. Personal Statement: An explanation of your passion for travel and photography.
4. Contact Information: Ensure all personal details are accurate for correspondence.</t>
  </si>
  <si>
    <t>https://www.youtube.com/watch?v=ZoaTOrVpXW0</t>
  </si>
  <si>
    <t>info@worldnomads.com</t>
  </si>
  <si>
    <t>The Tripura Post Matric Scholarship for OBC Students is a state government initiative designed to provide financial assistance to students from Other Backward Classes (OBC) in Tripura pursuing post-matriculation education. This scholarship aims to reduce the financial burden on students, encouraging them to continue their education in various fields and thereby enhancing their prospects for better employment opportunities. The scholarship covers a range of courses, from diploma to degree programs, and seeks to promote higher education among OBC communities in the state.</t>
  </si>
  <si>
    <t>The Tripura Post Matric Scholarship for OBC Students is aimed at facilitating the academic pursuits of students belonging to the OBC category. It provides financial support for various educational expenses, including tuition fees, maintenance allowances, and other essential costs. To be eligible, students must be residents of Tripura, belong to the OBC category, and maintain a minimum level of academic performance. The selection process is based on merit and adherence to the guidelines established by the state government. Scholarships are awarded for the duration of the course, provided that students continue to meet the eligibility criteria. This initiative not only promotes higher education but also empowers OBC students by equipping them with the resources needed to succeed academically and professionally.</t>
  </si>
  <si>
    <t>https://highereducation.tripura.gov.in/DHE/scholarship-scheme</t>
  </si>
  <si>
    <t>1. Visit the Official Website: Go to the Tripura Government Scholarship Portal.
2. Register on the Portal: Create an account if you’re a new user.
3. Fill Out the Application Form: Complete the application with required personal and academic details.
4. Upload Required Documents: Attach necessary documents, such as identity proof, caste certificate, and academic records.
5. Submit Your Application: Review all details and submit the application before the deadline.
6. Check Application Status: Monitor the portal for updates on the application status.</t>
  </si>
  <si>
    <t>1. Caste Certificate: Valid proof of OBC status.
2. Income Certificate: To verify family income.
3. Academic Records: Previous examination mark sheets and certificates.
4. Identity Proof: Aadhar card or any government-issued ID.
5. Bank Account Details: For scholarship fund disbursement.</t>
  </si>
  <si>
    <t>https://www.youtube.com/watch?v=iy3n2ZZWre8</t>
  </si>
  <si>
    <t>91-381-241-2181</t>
  </si>
  <si>
    <t>Directorate of Higher Education, Government of Tripura, Agartala - 799001, Tripura, India.</t>
  </si>
  <si>
    <t>The Tripura Post Matric Scholarship for SC Students is a government initiative aimed at providing financial assistance to students from Scheduled Castes (SC) in Tripura pursuing post-matriculation education. The scholarship is designed to help reduce the financial burden on SC students, encouraging them to continue their education and achieve their academic goals. It supports a wide range of educational courses, from diploma to degree programs, thus promoting higher education and skill development within the SC community in the state.</t>
  </si>
  <si>
    <t>The Tripura Post Matric Scholarship for SC Students provides financial support to eligible students for various educational expenses, including tuition fees, maintenance allowances, and other necessary costs associated with their education. To qualify for the scholarship, students must be residents of Tripura, belong to the SC category, and meet specific academic performance criteria. The selection process is based on merit, along with compliance with guidelines established by the state government. Scholarships are typically granted for the duration of the course, contingent on the student's continued eligibility. This initiative not only aims to enhance educational opportunities for SC students but also seeks to empower them to secure better employment prospects in the future.</t>
  </si>
  <si>
    <t>1. Visit the Official Website: Go to the Tripura Government Scholarship Portal.
2. Register on the Portal: Create an account if you are a new user.
3. Fill Out the Application Form: Complete the application with required personal and academic details.
4. Upload Required Documents: Attach necessary documents, including identity proof, caste certificate, and academic records.
5. Submit Your Application: Review all information and submit the application before the deadline.
6. Check Application Status: Monitor the portal for updates regarding the application status.</t>
  </si>
  <si>
    <t>1. Caste Certificate: Valid proof of SC status.
2. Income Certificate: To verify family income.
3. Academic Records: Previous examination mark sheets and certificates.
4. Identity Proof: Aadhar card or any government-issued ID.
5. Bank Account Details: For scholarship fund disbursement.</t>
  </si>
  <si>
    <t>https://www.youtube.com/watch?v=TfR8W7oXIks</t>
  </si>
  <si>
    <t>The Tuition Exam Fee (Freeship) Scheme in Maharashtra is a government initiative aimed at providing financial assistance to economically disadvantaged students. This scheme helps cover the tuition and examination fees for eligible students from specific categories, ensuring that financial constraints do not hinder their education. The primary objective is to promote higher education and support students in pursuing their academic goals without the burden of tuition fees.</t>
  </si>
  <si>
    <t xml:space="preserve">Under the Tuition Exam Fee (Freeship) Scheme, eligible students from economically weaker sections, Scheduled Castes (SC), Scheduled Tribes (ST), and Other Backward Classes (OBC) can avail themselves of financial support to cover their tuition and examination fees. The scheme is applicable to students enrolled in professional and non-professional courses at recognized institutions across Maharashtra. To qualify, students must meet specific criteria, including family income limits and residency requirements. The government aims to encourage higher education by alleviating the financial burden on students, thereby increasing enrollment and retention rates in educational institutions.
</t>
  </si>
  <si>
    <t>https://mahadbt.maharashtra.gov.in/login/login</t>
  </si>
  <si>
    <t>1. Visit the Official Website: Navigate to the Maharashtra Government Scholarship Portal.
2. Register on the Portal: Create an account if you are a new user.
3. Fill Out the Application Form: Complete the application with your personal and academic details.
4. Upload Required Documents: Attach necessary documents such as income certificate, caste certificate, and previous academic records.
5. Submit Your Application: Review all information and submit the application before the deadline.
6. Check Application Status: Use the portal to monitor the status of your application.</t>
  </si>
  <si>
    <t>1. Caste Certificate: Valid proof of SC, ST, or OBC status (if applicable).
2. Income Certificate: To verify family income.
3. Academic Records: Previous examination mark sheets and certificates.
4. Identity Proof: Aadhar card or any government-issued ID.
5. Bank Account Details: For disbursal of funds.</t>
  </si>
  <si>
    <t>https://www.youtube.com/watch?v=Piv7Af2gAQM</t>
  </si>
  <si>
    <t>91-22-2215-0011</t>
  </si>
  <si>
    <t>Directorate of Education, Government of Maharashtra, 3rd Floor, New Administrative Building, Opposite Mantralaya, Mumbai - 400032, Maharashtra, India.</t>
  </si>
  <si>
    <t>info@mahadbtmahait.co.in.</t>
  </si>
  <si>
    <t>The Tuition Fees and Examination Fees Scheme for OBC Students in Maharashtra is a government initiative aimed at supporting students from the Other Backward Classes (OBC) category. This scheme provides financial assistance to cover the tuition and examination fees for eligible students enrolled in various educational programs, ensuring that financial barriers do not prevent them from pursuing higher education. The scheme is part of the state government’s efforts to promote educational equity and empower students from marginalized communities.</t>
  </si>
  <si>
    <t>The scheme covers tuition and examination fees for students belonging to the OBC category who are enrolled in recognized institutions across Maharashtra. It applies to both professional and non-professional courses, thereby encouraging students to pursue higher education without the burden of financial constraints. To qualify, students must meet specific criteria, including family income limits and residency requirements in Maharashtra. The government aims to enhance enrollment rates among OBC students and provide them with opportunities for academic and professional growth. The scheme is designed to ensure that eligible students can focus on their studies without worrying about tuition costs.</t>
  </si>
  <si>
    <t>1. Visit the Official Website: Go to the Maharashtra Government Scholarship Portal.
2. Register on the Portal: Create an account if you are a new user.
3. Fill Out the Application Form: Complete the application with your personal and academic details.
4. Upload Required Documents: Attach necessary documents, such as income certificate, caste certificate, and previous academic records.
5. Submit Your Application: Review all information and submit the application before the deadline.
6. Check Application Status: Use the portal to monitor the status of your application.</t>
  </si>
  <si>
    <t>1. Caste Certificate: Valid proof of OBC status.
2. Income Certificate: To verify family income.
3. Academic Records: Previous examination mark sheets and certificates.
4. Identity Proof: Aadhar card or any government-issued ID.
5. Bank Account Details: For disbursement of funds.</t>
  </si>
  <si>
    <t>The UGAM – Legrand Scholarship Program is an initiative aimed at empowering and supporting deserving students in pursuing their higher education in technical fields. Sponsored by Legrand, a global leader in electrical and digital building infrastructure, this scholarship focuses on providing financial assistance to students from economically disadvantaged backgrounds, enabling them to access quality education and realize their academic potential. The program emphasizes the importance of skill development and encourages students to engage in extracurricular activities that enhance their personal growth and professional readiness. By fostering a community of future leaders in technology and engineering, the UGAM – Legrand Scholarship Program aims to contribute to a sustainable and innovative future.</t>
  </si>
  <si>
    <t>The UGAM – Legrand Scholarship Program is designed to support undergraduate students pursuing degrees in engineering, technology, or related fields. The scholarship provides comprehensive financial assistance that covers tuition fees, educational materials, and other necessary expenses, alleviating the financial burden on students and their families. The selection process is competitive, focusing on academic merit as well as the potential for future contributions to society. Scholars not only receive financial aid but also benefit from mentorship opportunities with industry professionals, workshops, and networking events aimed at enhancing their educational experience and career prospects. By nurturing talent in technical disciplines, the program seeks to cultivate a generation of skilled professionals equipped to tackle contemporary challenges in the electrical and digital infrastructure sectors. Through initiatives that encourage innovation and sustainable practices, the UGAM – Legrand Scholarship Program strives to make a meaningful impact on both individuals and communities.</t>
  </si>
  <si>
    <t>https://legrandscholarship.co.in/</t>
  </si>
  <si>
    <t>1. Visit the official UGAM – Legrand Scholarship Program website.
2. Review the eligibility criteria and application requirements.
3. Complete the online application form, providing all requested personal, academic, and financial details.
4. Submit the necessary documentation, including proof of income and academic records.
5. Ensure that your application is submitted before the designated deadline.</t>
  </si>
  <si>
    <t>1. Completed scholarship application form.
2. Proof of income (salary slips, family income certificate).
3. Academic transcripts or certificates from the previous education.
4. Letters of recommendation (if specified).
5. Any additional documents requested by the scholarship program.</t>
  </si>
  <si>
    <t>https://youtu.be/FNWPhdCe-w8?si=Bt-ey4HW5xFrcGy7</t>
  </si>
  <si>
    <t>91-22-6154-3434</t>
  </si>
  <si>
    <t>UGAM – Legrand Scholarship Program
UGAM Solutions Pvt. Ltd.
2nd Floor, 211, A-Wing,
Sagar Tech Plaza,
Andheri-Kurla Road,
Sakinaka, Andheri (East),
Mumbai - 400072,
Maharashtra, India.</t>
  </si>
  <si>
    <t>info@ugamscholarships.com</t>
  </si>
  <si>
    <t>1. Visit the official UGAM – Legrand Scholarship Program website. 
2. Review the eligibility criteria and application requirements. 
3. Complete the online application form, providing all requested personal, academic, and financial details. 
4. Submit the necessary documentation, including proof of income and academic records. 
5. Ensure that your application is submitted before the designated deadline.</t>
  </si>
  <si>
    <t>1. Completed scholarship application form. 
2. Proof of income (salary slips, family income certificate). 
3. Academic transcripts or certificates from the previous education. 
4. Letters of recommendation (if specified). 
5. Any additional documents requested by the scholarship program.</t>
  </si>
  <si>
    <t>UGAM – Legrand Scholarship Program 
UGAM Solutions Pvt. Ltd. 
2nd Floor, 211, A-Wing, 
Sagar Tech Plaza, 
Andheri-Kurla Road, 
Sakinaka, Andheri (East), 
Mumbai - 400072, 
Maharashtra, India.</t>
  </si>
  <si>
    <t>The Level 6 Diploma in Accounting and Financial Management offered by UNICAF is designed for individuals looking to advance their careers in accounting and finance. This diploma is equivalent to the final year of an undergraduate degree and provides students with a comprehensive understanding of financial management principles, accounting techniques, and the regulatory frameworks governing the financial industry. The program is suitable for both aspiring accountants and those already working in finance who wish to enhance their skills and knowledge.</t>
  </si>
  <si>
    <t>The UNICAF Level 6 Diploma in Accounting and Financial Management equips students with the necessary tools to excel in the finance sector. The curriculum covers a wide range of topics, including financial reporting, management accounting, taxation, and auditing. Through a blend of theoretical knowledge and practical application, students will learn how to analyze financial data, prepare financial statements, and make informed business decisions. The program is delivered online, providing flexibility for working professionals and allowing students to study at their own pace. Upon successful completion, graduates will be well-prepared to pursue careers in accounting, finance, or related fields, or to progress to higher-level qualifications.</t>
  </si>
  <si>
    <t>https://www.unicaf.org/</t>
  </si>
  <si>
    <t>1. Visit the Official Website: Go to the UNICAF website.
2. Find the Program: Navigate to the "Diplomas" section and select the Level 6 Diploma in Accounting and Financial Management.
3. Complete the Application Form: Fill out the required personal and academic details in the online application form.
4. Submit Required Documents: Upload necessary documents, including academic qualifications and identification proof.
5. Submit Your Application: Review all details and submit your application.
6. Check Application Status: Monitor your email for updates on your application status and further instructions.</t>
  </si>
  <si>
    <t>1. Academic Qualifications: Previous diplomas or degrees.
2. Identity Proof: Passport, national ID, or any government-issued identification.
3. Proof of English Proficiency: If applicable, test scores such as IELTS or TOEFL may be required.</t>
  </si>
  <si>
    <t>https://www.youtube.com/watch?v=h70fj6tlgoo</t>
  </si>
  <si>
    <t>44 20 8068 0121</t>
  </si>
  <si>
    <t>UNICAF
4th Floor, 19-21, Tithebarn Street,
Liverpool, L2 2DT,
United Kingdom.</t>
  </si>
  <si>
    <t>info@unicaf.org</t>
  </si>
  <si>
    <t>The University of Strathclyde International Undergraduate Scholarship is designed to support outstanding international students who wish to pursue undergraduate programs at the University of Strathclyde in Glasgow, Scotland. This scholarship aims to attract talented individuals from around the world, enhancing the diversity of the university community. The scholarship helps ease the financial burden of tuition fees, allowing recipients to focus on their studies and make the most of their university experience.</t>
  </si>
  <si>
    <t>This scholarship is available to new international students applying for undergraduate courses at the University of Strathclyde. It typically covers a significant portion of the tuition fees for the first year of study, with the possibility of renewal for subsequent years, depending on academic performance. Eligible candidates must demonstrate strong academic credentials, an interest in their chosen field of study, and a commitment to contributing positively to the university community. The University of Strathclyde offers a wide range of undergraduate programs across various disciplines, and this scholarship is an excellent opportunity for students to gain a world-class education in a vibrant city.</t>
  </si>
  <si>
    <t>https://www.strath.ac.uk/studywithus/scholarships/?</t>
  </si>
  <si>
    <t>1. Visit the Official Website: Go to the University of Strathclyde scholarship page.
2. Check Eligibility: Review the eligibility criteria for the International Undergraduate Scholarship.
3. Apply for Admission: Submit an application for an undergraduate program at the University of Strathclyde.
4. Complete the Scholarship Application: Fill out the scholarship application form provided on the website.
5. Submit Required Documents: Include necessary documents, such as academic transcripts, letters of recommendation, and a personal statement.
6. Submit Your Application: Review all details and submit both your university admission and scholarship applications before the deadlines.
7. Check Application Status: Monitor your email for updates regarding the scholarship status and any additional information required.</t>
  </si>
  <si>
    <t>1. Academic Transcripts: Previous examination results and certificates.
2. Personal Statement: A statement explaining your motivations and aspirations.
3. Letters of Recommendation: Usually from teachers or academic advisors.
4. Proof of English Language Proficiency: Such as IELTS or TOEFL scores, if applicable.</t>
  </si>
  <si>
    <t>https://www.youtube.com/watch?v=UaMBYBl_ll0</t>
  </si>
  <si>
    <t>44 (0)141 548 2111</t>
  </si>
  <si>
    <t>University of Strathclyde,
16 Richmond Street,
Glasgow, G1 1XQ,
Scotland, United Kingdom.</t>
  </si>
  <si>
    <t>admissions@strath.ac.uk</t>
  </si>
  <si>
    <t>The University of Strathclyde-Faculty of Science Undergraduate Elite Scholarships are designed to attract and support high-achieving international students who wish to pursue undergraduate programs in the Faculty of Science. This scholarship aims to promote academic excellence by providing financial assistance to students with exceptional academic records and potential. By easing the financial burden of tuition fees, the scholarship enables recipients to fully engage in their studies and take advantage of the rich educational environment offered by the University of Strathclyde.</t>
  </si>
  <si>
    <t>These scholarships are available to new international students who are applying for undergraduate courses within the Faculty of Science at the University of Strathclyde. The scholarship typically covers a portion of the tuition fees for the duration of the program. Eligible candidates must demonstrate outstanding academic performance, a strong interest in their field of study, and a commitment to contributing to the university community. The Faculty of Science offers a variety of programs in disciplines such as Chemistry, Physics, Mathematics, and Biological Sciences, providing students with a solid foundation for future careers or further study.</t>
  </si>
  <si>
    <t>1. Visit the Official Website: Go to the Faculty of Science scholarship page.
2. Check Eligibility: Review the eligibility criteria for the Faculty of Science Undergraduate Elite Scholarships.
3. Apply for Admission: Submit an application for an undergraduate program in the Faculty of Science at the University of Strathclyde.
4. Complete the Scholarship Application: Fill out the scholarship application form provided on the website.
5. Submit Required Documents: Include necessary documents, such as academic transcripts, a personal statement, and letters of recommendation.
6. Submit Your Application: Review all details and submit both your university admission and scholarship applications before the deadlines.
7. Check Application Status: Monitor your email for updates regarding the scholarship status and any additional information required.</t>
  </si>
  <si>
    <t>1. Academic Transcripts: Previous examination results and certificates.
2. Personal Statement: A statement explaining your motivations and aspirations in the field of science.
3. Letters of Recommendation: Usually from teachers or academic advisors familiar with your work.
4. Proof of English Language Proficiency: Such as IELTS or TOEFL scores, if applicable.</t>
  </si>
  <si>
    <t>https://www.youtube.com/watch?v=VmHLFipO0MM</t>
  </si>
  <si>
    <t>The UQ Future Students Undergraduate Scholarship for High Achievers is designed to support outstanding students from India who wish to pursue undergraduate studies at the University of Queensland (UQ) in Australia. This scholarship aims to recognize and reward academic excellence among Indian students, enabling them to access world-class education and resources at UQ. By providing financial assistance, the scholarship helps alleviate the financial burden associated with studying abroad, allowing recipients to focus on their academic and personal growth.</t>
  </si>
  <si>
    <t>This scholarship is available to new international students from India who are applying for undergraduate programs at the University of Queensland. It typically provides a substantial reduction in tuition fees for the duration of the program. Eligible candidates must demonstrate exceptional academic performance in their previous studies and meet the admission requirements for their chosen undergraduate course. The scholarship not only aims to foster academic excellence but also encourages cultural diversity and collaboration within the university community. Recipients of this scholarship are expected to contribute positively to the UQ community and may benefit from various support services offered by the university.</t>
  </si>
  <si>
    <t>https://scholarships.uq.edu.au/</t>
  </si>
  <si>
    <t>1. Visit the Official Website: Go to the UQ scholarships page.
2. Check Eligibility: Review the eligibility criteria for the UQ Future Students Undergraduate Scholarship for High Achievers.
3. Apply for Admission: Submit an application for an undergraduate program at the University of Queensland.
4. Complete the Scholarship Application: Fill out the scholarship application form as indicated on the website.
5. Submit Required Documents: Include necessary documents such as academic transcripts, proof of English language proficiency, and a personal statement.
6. Submit Your Application: Review all details and submit both your university admission and scholarship applications before the deadlines.
7. Check Application Status: Monitor your email for updates regarding the scholarship status and any additional information required.</t>
  </si>
  <si>
    <t>1. Academic Transcripts: Previous examination results and certificates.
2. Personal Statement: A statement outlining your achievements and reasons for applying.
3. Proof of English Language Proficiency: Such as IELTS or TOEFL scores, if applicable.
4. Letters of Recommendation: Optional, but can strengthen your application.</t>
  </si>
  <si>
    <t>https://www.youtube.com/watch?v=E9vAnL44ATM</t>
  </si>
  <si>
    <t>61 7 3365 1111</t>
  </si>
  <si>
    <t>The University of Queensland,
Brisbane QLD 4072,
Australia.</t>
  </si>
  <si>
    <t>scholarships@uq.edu.au</t>
  </si>
  <si>
    <t>The Vasantrao Naik Merit Awards are aimed at supporting and encouraging students from the VJNT (Vimukta Jati, Nomadic Tribes) community in Maharashtra who excel academically. Named after the former Chief Minister of Maharashtra, Vasantrao Naik, these awards are part of the government’s initiative to promote education among underprivileged communities. The program recognizes the hard work and achievements of VJNT students, providing them with financial assistance to further their education and improve their future prospects.</t>
  </si>
  <si>
    <t>The Vasantrao Naik Merit Awards provide financial support to VJNT students who have demonstrated outstanding academic performance in their respective fields of study. The awards are typically offered at various educational levels, including undergraduate and postgraduate studies. Students who achieve high marks in their examinations are eligible to apply for these awards, which help cover tuition fees and other educational expenses. The initiative aims to bridge the educational gap for VJNT students, promote higher education, and encourage them to pursue careers that contribute positively to society. In addition to financial support, the awards may also include mentorship and guidance to help students navigate their academic journeys successfully.</t>
  </si>
  <si>
    <t>https://www.myscheme.gov.in/schemes/vnmatv</t>
  </si>
  <si>
    <t>1. Visit the Official Website: Go to the Maharashtra Government scholarship portal or the specific page for Vasantrao Naik Merit Awards.
2. Check Eligibility: Review the eligibility criteria for VJNT students.
3. Register on the Portal: Create an account if required, or log in if you already have one.
4. Complete the Application Form: Fill out the application form with accurate personal and academic details.
5. Upload Required Documents: Attach necessary documents, including academic transcripts, proof of identity, and income certificates.
6. Submit Your Application: Review all details and submit your application before the deadline.
7. Check Application Status: Monitor the portal for updates on your application status.</t>
  </si>
  <si>
    <t>1. Academic Transcripts: Previous examination results and certificates.
2. Income Certificate: To verify financial need.
3. Caste Certificate: Proof of VJNT status.
4.Identity Proof: Aadhar card or any government-issued ID.</t>
  </si>
  <si>
    <t>https://www.youtube.com/watch?v=rY_XZKWsTrY</t>
  </si>
  <si>
    <t>91 22 2202 1000</t>
  </si>
  <si>
    <t>Maharashtra Government Education Department,
Mantralaya, Mumbai,
Maharashtra, India.</t>
  </si>
  <si>
    <t>edu.maharashtra@gmail.com</t>
  </si>
  <si>
    <t>The Vel Tech Mahatma Gandhi National Merit Scholarship is an initiative by Vel Tech Rangarajan Dr. Sagunthala R&amp;D Institute of Science and Technology, located in Tamil Nadu, India. This scholarship aims to support high-achieving students pursuing undergraduate and postgraduate courses at the university. It is named after Mahatma Gandhi to honor his contributions to education and societal upliftment. The scholarship is designed to encourage academic excellence and help meritorious students reduce their financial burden while pursuing quality education.</t>
  </si>
  <si>
    <t>The Vel Tech Mahatma Gandhi National Merit Scholarship is awarded to students based on their academic performance in qualifying examinations, such as the class 12 board exams or relevant entrance tests. The scholarship provides financial assistance that can cover a portion of tuition fees and other educational expenses. This initiative seeks to attract talented students from across India, promoting diversity and excellence within the Vel Tech community. Eligible students are required to meet specific academic criteria and may need to maintain a certain level of academic performance to retain the scholarship in subsequent years. In addition to financial support, the scholarship recipients benefit from various academic resources and support services offered by the university.</t>
  </si>
  <si>
    <t>https://www.veltech.edu.in/veltech-mahatma-gandhi-national-merit-scholarship/</t>
  </si>
  <si>
    <t>1. Visit the Official Website: Go to the Vel Tech University scholarship page.
2. Check Eligibility: Review the eligibility criteria for the Mahatma Gandhi National Merit Scholarship.
3. Apply for Admission: Submit an application for an undergraduate or postgraduate program at Vel Tech University.
4. Complete the Scholarship Application: Fill out the scholarship application form provided on the website.
5. Submit Required Documents: Include necessary documents, such as academic transcripts, a personal statement, and any entrance exam scores.
6. Submit Your Application: Review all details and submit both your university admission and scholarship applications before the deadlines.
7. Check Application Status: Monitor your email for updates regarding your scholarship status and any additional information required.</t>
  </si>
  <si>
    <t>1. Academic Transcripts: Previous examination results and certificates.
2. Entrance Exam Scores: Results from relevant entrance examinations, if applicable.
3. Personal Statement: A statement explaining your academic goals and aspirations.
4. Identity Proof: Aadhar card or any government-issued ID.</t>
  </si>
  <si>
    <t>https://www.youtube.com/watch?v=GT8VlN_Vmpw</t>
  </si>
  <si>
    <t>91 44 2684 1216</t>
  </si>
  <si>
    <t>Vel Tech Rangarajan Dr. Sagunthala R&amp;D Institute of Science and Technology,
No. 42, Avadi-Vel Tech Road,
Vel Nagar, Avadi,
Chennai - 600062,
Tamil Nadu, India.</t>
  </si>
  <si>
    <t>info@veltech.edu.in</t>
  </si>
  <si>
    <t>The Vidyadhan Scholarship Program is an initiative aimed at supporting students from economically disadvantaged backgrounds to pursue higher education in India. Launched by the Sarojini Damodaran Foundation, this program seeks to provide financial assistance to meritorious students who demonstrate a strong commitment to their education. The scholarship covers a range of academic fields, encouraging students to pursue their aspirations and achieve their educational goals without the burden of financial constraints.</t>
  </si>
  <si>
    <t>The Vidyadhan Scholarship Program offers scholarships to students who have completed their 10th grade and are seeking to pursue higher secondary education (11th and 12th grades) or undergraduate courses. The scholarship typically covers tuition fees and other essential expenses related to education, such as books and materials. Students are selected based on their academic performance and financial need, and they must maintain satisfactory academic progress to continue receiving support. The program also emphasizes the importance of personal development and encourages recipients to participate in community service and extracurricular activities. Through this initiative, the Sarojini Damodaran Foundation aims to empower students, enabling them to overcome financial barriers and succeed in their educational endeavors.</t>
  </si>
  <si>
    <t>https://www.vidyadhan.org/apply</t>
  </si>
  <si>
    <t>1. Visit the Official Website: Go to the Vidyadhan scholarship page.
2. Check Eligibility: Review the eligibility criteria for the Vidyadhan Scholarship Program.
3. Register on the Portal: Create an account on the Vidyadhan website.
4. Complete the Application Form: Fill out the scholarship application form with the required details.
5. Upload Required Documents: Attach necessary documents such as academic records, income certificates, and identity proof.
6. Submit Your Application: Review all details and submit your application before the deadline.
7. Check Application Status: Monitor your email for updates regarding your application status and any additional information required.</t>
  </si>
  <si>
    <t>1. Academic Records: Transcripts and certificates from previous classes.
2. Income Certificate: To verify financial need.
3. Identity Proof: Aadhar card or any government-issued ID.
4. Passport-Sized Photograph: Recent photograph as per the specifications mentioned in the application.</t>
  </si>
  <si>
    <t>https://www.youtube.com/watch?v=OE3uqFg3WtQ</t>
  </si>
  <si>
    <t>91 22 2802 3945</t>
  </si>
  <si>
    <t>Sarojini Damodaran Foundation,
G-3, Raghavendra Complex,
Opposite Vijaya Bank,
S. V. Road, Goregaon (West),
Mumbai - 400062,
Maharashtra, India.</t>
  </si>
  <si>
    <t>info@vidyadhan.org</t>
  </si>
  <si>
    <t>The Vidyasaarathi-SNL Bearings Scholarship aims to support undergraduate students pursuing a Bachelor of Engineering (B.E) or Bachelor of Technology (B.Tech) degree. Sponsored by SNL Bearings, a prominent player in the manufacturing sector, this scholarship is designed to empower students from economically disadvantaged backgrounds by providing them with the financial assistance needed to pursue their higher education. The initiative focuses on promoting education in engineering and technology, thus fostering a new generation of skilled professionals in the industry. By alleviating financial burdens, the Vidyasaarathi-SNL Bearings Scholarship encourages students to excel academically and actively participate in their personal and professional development.</t>
  </si>
  <si>
    <t>The Vidyasaarathi-SNL Bearings Scholarship offers financial support to deserving students enrolled in B.E/B. Tech programs at recognized institutions. The scholarship covers essential expenses, including tuition fees, educational materials, and other related costs, allowing recipients to focus on their studies without financial distractions. The selection process is merit-based, taking into account the academic achievements and financial needs of applicants. In addition to financial aid, scholars may receive guidance and mentorship from professionals in the engineering field, enhancing their career readiness and industry exposure. This initiative not only aims to foster academic excellence but also encourages recipients to engage in extracurricular activities that contribute to their holistic development. By investing in the education of future engineers, the Vidyasaarathi-SNL Bearings Scholarship aspires to make a lasting impact on the industry and the communities these students will eventually serve.</t>
  </si>
  <si>
    <t>https://www.vidyasaarathi.co.in/Vidyasaarathi/scholarship</t>
  </si>
  <si>
    <t>1. Visit the Vidyasaarathi scholarship portal.
2. Review the eligibility criteria and specific application requirements for the SNL Bearings Scholarship.
3. Complete the online application form with accurate personal, academic, and financial information.
4. Upload the required documents, such as proof of income and academic records.
5. Submit the application before the deadline indicated on the scholarship portal.</t>
  </si>
  <si>
    <t>1. Completed scholarship application form.
2. Proof of family income (salary slips, income certificate).
3. Academic transcripts or certificates from previous studies.
4. Admission letter or proof of enrollment in a B.E/B. Tech program.
5. Any additional documents specified by the scholarship guidelines.</t>
  </si>
  <si>
    <t>https://youtu.be/Vg6xdC18ELU?si=VrgYl6c333xaY4YM</t>
  </si>
  <si>
    <t>(022) 4090 4484</t>
  </si>
  <si>
    <t>Times Tower, 1st Floor, Kamala Mills Compound, Lower Parel, Mumbai - 400 013.</t>
  </si>
  <si>
    <t>vidyasaarathi@proteantech.in</t>
  </si>
  <si>
    <t>The West Bengal Post-Matric Scholarship for SC/ST/OBC is a government initiative designed to provide financial support to students belonging to Scheduled Castes (SC), Scheduled Tribes (ST), and Other Backward Classes (OBC) who are pursuing post-matriculation studies. This scholarship aims to enhance educational opportunities for underprivileged sections of society by alleviating the financial burdens associated with higher education. By encouraging students to continue their education, the program strives to improve literacy rates and promote social equity in the state. The scholarship not only covers tuition fees but also provides allowances for books, materials, and living expenses, thereby enabling students to focus on their academic pursuits.</t>
  </si>
  <si>
    <t>The West Bengal Post-Matric Scholarship for SC/ST/OBC is a vital program aimed at supporting students in their pursuit of higher education after completing their matriculation. The scholarship is awarded to eligible students enrolled in recognized educational institutions in West Bengal, covering various expenses such as tuition fees, maintenance allowances, and other educational costs. The application process is streamlined through the West Bengal government’s online portal, ensuring accessibility for students across the state. Selection is based on a combination of academic performance and family income, with priority given to those from the most economically disadvantaged backgrounds. This initiative not only promotes educational attainment among SC, ST, and OBC students but also fosters inclusivity and diversity in academic institutions. By facilitating financial support, the scholarship encourages recipients to overcome socio-economic barriers and achieve their educational goals, ultimately contributing to the upliftment of marginalized communities within West Bengal.</t>
  </si>
  <si>
    <t>https://wb.gov.in/</t>
  </si>
  <si>
    <t>1. Visit the official West Bengal Post-Matric Scholarship portal.
2. Register for a new account or log in if you already have one.
3. Fill out the online application form with accurate personal and educational details.
4. Upload the required documents, such as caste certificates and proof of income.
5. Submit the application before the deadline specified on the portal.</t>
  </si>
  <si>
    <t>1. Caste certificate (SC/ST/OBC).
2. Proof of income (salary slips, family income certificate).
3. Academic transcripts or certificates from previous studies.
4. Admission letter or proof of enrollment in a post-matriculation program.
5. Bank account details for scholarship disbursement.</t>
  </si>
  <si>
    <t>https://youtu.be/dWPU3EIskSg?si=aXq5j0kVYTWWBk0Q</t>
  </si>
  <si>
    <t>info@wb.gov.in</t>
  </si>
  <si>
    <t>The Yashad-Sumedha Scholarship Programme is a transformative initiative aimed at supporting deserving students from economically disadvantaged backgrounds in pursuing higher education. This scholarship focuses on empowering young minds by providing financial assistance for tuition fees, books, and other educational expenses. By fostering access to quality education, the programme seeks to break the cycle of poverty and create opportunities for personal and professional growth. The scholarship is designed not only to alleviate financial burdens but also to encourage academic excellence and holistic development among recipients. Through mentorship and additional resources, the Yashad-Sumedha Scholarship Programme aims to nurture the next generation of leaders and change-makers.</t>
  </si>
  <si>
    <t>The Yashad-Sumedha Scholarship Programme serves as a beacon of hope for students who demonstrate both academic potential and financial need. This scholarship provides a comprehensive support system that includes funding for tuition fees, educational materials, and other related costs, thereby enabling students to focus on their studies without the stress of financial constraints. The selection process is rigorous, aimed at identifying students who not only excel academically but also show a commitment to their communities. Recipients of the scholarship benefit from mentorship opportunities with industry professionals, workshops, and skill development sessions designed to enhance their educational experience. Additionally, the programme promotes networking among scholars, fostering a supportive community where students can collaborate and share resources. By investing in education, the Yashad-Sumedha Scholarship Programme aspires to create a sustainable impact, enabling recipients to achieve their academic and career aspirations while contributing positively to society.</t>
  </si>
  <si>
    <t>https://leverageedu.com/discover/indian-scholarships/yashad-sumedha-scholarship/</t>
  </si>
  <si>
    <t>1. Visit the official Yashad-Sumedha Scholarship Programme website.
2. Review the eligibility criteria and application requirements.
3. Complete the online application form, providing personal, academic, and financial information.
4. Submit necessary documentation, such as proof of income and academic records.
5. Ensure submission before the application deadline.</t>
  </si>
  <si>
    <t>1. Completed application form.
2. Proof of income (e.g., salary slips, tax returns).
3. Academic records (transcripts, certificates).
4. Recommendation letters (if required).
5. Any additional documentation specified by the scholarship guidelines.</t>
  </si>
  <si>
    <t>https://youtu.be/c2zIUalBiJk?si=V0PXCsKdqrVs5eby</t>
  </si>
  <si>
    <t>1800-572-000</t>
  </si>
  <si>
    <t>Leverage Edu Tower, 
A-258, Bhishma Pitamah Marg, Block A, 
Defence Colony, New Delhi, Delhi 110024</t>
  </si>
  <si>
    <t>press@leverageedu.com</t>
  </si>
  <si>
    <t>Yes Bank Natural Capital Awards Photography Contest</t>
  </si>
  <si>
    <t>The Yes Bank Natural Capital Awards Photography Contest is a creative initiative that aims to raise awareness about environmental conservation and the importance of natural capital in sustaining ecosystems. The contest invites photographers to showcase their skills by capturing the beauty of nature, biodiversity, and the intricate relationships within ecosystems. By focusing on themes such as wildlife, landscapes, and environmental challenges, the contest encourages participants to highlight the pressing issues related to natural resources and sustainability. This platform not only promotes artistic expression but also seeks to inspire individuals to appreciate and protect the environment for future generations.</t>
  </si>
  <si>
    <t>The Yes Bank Natural Capital Awards Photography Contest is designed to engage photographers and nature enthusiasts in a visual dialogue about the significance of natural capital. Participants are encouraged to submit photographs that depict the diverse aspects of nature, from stunning landscapes and vibrant wildlife to the impacts of climate change and human activity on ecosystems. The contest is open to photographers of all skill levels, allowing both amateurs and professionals to participate and share their unique perspectives. Winning entries are selected based on creativity, originality, and the ability to convey a powerful message about environmental stewardship. The selected photographs may be featured in exhibitions, publications, and online platforms, providing participants with visibility and recognition for their work. Moreover, the contest aims to foster a community of environmentally conscious individuals who are motivated to advocate for sustainable practices and contribute to the conservation of natural resources. Through this initiative, Yes Bank aims to inspire action and engagement in protecting the planet's natural heritage.</t>
  </si>
  <si>
    <t>https://www.yesbank.in/banking-initiatives/responsible-banking/positive-impact/natural-capital/nca</t>
  </si>
  <si>
    <t>1. Visit the official Yes Bank Natural Capital Awards website.
2. Review the contest rules, eligibility criteria, and submission guidelines.
3. Register online by providing your personal details.
4. Submit your photographs in the specified format (JPEG, PNG, etc.) along with any required captions.
5. Ensure that submissions are made before the contest deadline.</t>
  </si>
  <si>
    <t>1. Completed registration form.
2. Photographs submitted for the contest (as per the specified guidelines).
3. Consent form for the use of photographs (if required).
4. Any additional documentation specified by the contest organizers.</t>
  </si>
  <si>
    <t>info@yesbanknaturalcapitalawards.org</t>
  </si>
  <si>
    <t>The Young Artistes Scholarship is a prestigious initiative aimed at nurturing and supporting emerging talent in the arts. Designed for young artists, musicians, and performers, this scholarship provides financial assistance, mentorship, and exposure to enhance their skills and artistic pursuits. By offering resources and opportunities, the program seeks to empower the next generation of creative individuals to realize their full potential and pursue their dreams in the competitive world of the arts. The scholarship aims to foster a vibrant arts community and encourages recipients to contribute to cultural enrichment and innovation.</t>
  </si>
  <si>
    <t>The Young Artistes Scholarship is designed to support aspiring artists across various disciplines, including visual arts, music, dance, theater, and more. This scholarship provides recipients with financial assistance to cover tuition fees, art supplies, and other educational expenses related to their artistic training. In addition to financial support, the program includes mentorship from established artists and professionals in the field, who guide recipients through their artistic journeys. Scholars also gain opportunities to participate in workshops, exhibitions, and performances, allowing them to showcase their work and connect with other creatives. The scholarship not only aims to alleviate financial burdens but also to foster a sense of community among young artists, encouraging collaboration and cultural exchange. Recipients are expected to engage with their local communities, sharing their knowledge and passion for the arts, thus contributing to a more vibrant cultural landscape. The program ultimately seeks to elevate the arts and support the development of unique voices that enrich society.</t>
  </si>
  <si>
    <t>https://www.indiaculture.gov.in/award-scholarships-young-artists-different-cultural-fields</t>
  </si>
  <si>
    <t>1. Visit the official scholarship website for detailed information.
2. Review the eligibility criteria and application requirements.
3. Complete the online application form, providing personal and artistic information.
4. Submit a portfolio showcasing your artistic work, including descriptions and any relevant achievements.
5. Include letters of recommendation from mentors or educators in the arts.
6. Submit your application by the designated deadline.</t>
  </si>
  <si>
    <t>1. Completed application form.
2. Portfolio of artistic work (digital or physical).
3. Letters of recommendation (usually 2-3).
4. Personal statement or essay describing your artistic journey and goals.
5. Any additional documentation specified by the scholarship guidelines.</t>
  </si>
  <si>
    <t>https://youtu.be/LWCegHFKFKY?si=DA38MIcHp5gANLdz</t>
  </si>
  <si>
    <t>91 11 23386995</t>
  </si>
  <si>
    <t>Secretary 
502-C Wing, Shastri Bhawan, New Delhi -110001</t>
  </si>
  <si>
    <t>secy-culture@nic.in</t>
  </si>
  <si>
    <t>Government of India Post-Matric Scholarship (MahaDBT)</t>
  </si>
  <si>
    <t>The Government of India Post-Matric Scholarship on the MahaDBT portal is an initiative by the Government of Maharashtra to support students from economically and socially backward classes, including Scheduled Castes (SC), Scheduled Tribes (ST), and Other Backward Classes (OBC), in pursuing higher education after Class 10 (Post-Matric). This scholarship aims to provide financial assistance to students by covering tuition fees, examination fees, maintenance allowances, and other educational expenses. By easing the financial burden on families, the program encourages students to continue their education and reduce dropout rates among marginalized communities. The scholarship is available for various courses ranging from undergraduate to postgraduate levels across recognized institutions within the state and beyond.</t>
  </si>
  <si>
    <t>The Government of India Post-Matric Scholarship provided through the MahaDBT portal is a comprehensive scheme targeting students from SC, ST, and OBC communities who are pursuing post-secondary education in Maharashtra and beyond. The scholarship covers several educational expenses such as tuition fees, exam fees, maintenance allowance, and other incidental charges, making higher education more accessible for economically weaker students. Applicants can apply online via the MahaDBT (Maharashtra Direct Benefit Transfer) portal, ensuring transparency and ease of application processing. The scheme aims to minimize financial barriers for deserving students and promote academic growth by reducing the dropout rate in higher education, particularly for students from disadvantaged backgrounds. The funds are disbursed directly to the beneficiary's bank account, ensuring timely assistance for students in need. To qualify, students must meet the family income criteria and other eligibility requirements specific to their caste or tribe. This program is crucial in empowering students from marginalized communities to excel academically and gain better career opportunities.</t>
  </si>
  <si>
    <t>Pursuing higher education after Class 10 (Post-Matric)</t>
  </si>
  <si>
    <t>August to February</t>
  </si>
  <si>
    <t>https://mahadbt.maharashtra.gov.in/Login/Login</t>
  </si>
  <si>
    <t>1. Visit the MahaDBT portal and register as a new user.
2. Complete the Aadhaar authentication process for verification.
3. Log in with your credentials and select the Government of India Post-Matric Scholarship from the available options.
4. Fill out the application form with personal, educational, and income details.
5. Upload the required documents, such as caste and income certificates, educational records, and bank details.
6. Submit the application online and track the status through the portal.</t>
  </si>
  <si>
    <t>1. Caste certificate (SC/ST/OBC).
2. Family income certificate.
3. Previous year’s mark sheet.
4. Domicile certificate.
5. Aadhaar card.
6. Bank passbook details.
7. Admission receipt from the educational institution.</t>
  </si>
  <si>
    <t>For All Students</t>
  </si>
  <si>
    <t>https://youtu.be/Z31B7Q-q2GM?si=y6YD62dqzJbv0V23</t>
  </si>
  <si>
    <t>support.mahadbt@maharashtra.gov.in</t>
  </si>
  <si>
    <t>Department of Social Justice and Special Assistance, Government of Maharashtra, Mumbai.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</si>
</sst>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13">
    <font>
      <sz val="11"/>
      <color theme="1"/>
      <name val="Calibri"/>
      <family val="2"/>
      <scheme val="minor"/>
    </font>
    <font>
      <sz val="10"/>
      <color theme="1"/>
      <name val="Arial"/>
      <family val="2"/>
    </font>
    <font>
      <sz val="10"/>
      <name val="Arial"/>
      <family val="2"/>
    </font>
    <font>
      <u/>
      <sz val="11"/>
      <color theme="10"/>
      <name val="Calibri"/>
      <family val="2"/>
      <scheme val="minor"/>
    </font>
    <font>
      <sz val="10"/>
      <color rgb="FF000000"/>
      <name val="Arial"/>
      <family val="2"/>
    </font>
    <font>
      <sz val="11"/>
      <color theme="1"/>
      <name val="Arial"/>
      <family val="2"/>
    </font>
    <font>
      <i/>
      <sz val="9"/>
      <color theme="1"/>
      <name val="Tahoma"/>
      <family val="2"/>
    </font>
    <font>
      <sz val="12"/>
      <color rgb="FF54565A"/>
      <name val="Arial"/>
      <family val="2"/>
    </font>
    <font>
      <sz val="11"/>
      <color rgb="FF999999"/>
      <name val="Glegoo"/>
    </font>
    <font>
      <u/>
      <sz val="10"/>
      <color rgb="FF0563C1"/>
      <name val="Arial"/>
      <family val="2"/>
    </font>
    <font>
      <sz val="12"/>
      <color rgb="FF222222"/>
      <name val="Open Sans"/>
    </font>
    <font>
      <sz val="11"/>
      <color rgb="FF555555"/>
      <name val="OpenSans-Regular"/>
    </font>
    <font>
      <sz val="11"/>
      <color rgb="FF585858"/>
      <name val="Arial"/>
      <family val="2"/>
    </font>
  </fonts>
  <fills count="6">
    <fill>
      <patternFill patternType="none"/>
    </fill>
    <fill>
      <patternFill patternType="gray125"/>
    </fill>
    <fill>
      <patternFill patternType="solid">
        <fgColor rgb="FFFFFF00"/>
        <bgColor indexed="64"/>
      </patternFill>
    </fill>
    <fill>
      <patternFill patternType="solid">
        <fgColor rgb="FFFAFAFA"/>
        <bgColor indexed="64"/>
      </patternFill>
    </fill>
    <fill>
      <patternFill patternType="solid">
        <fgColor rgb="FFEBEFF0"/>
        <bgColor indexed="64"/>
      </patternFill>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bottom/>
      <diagonal/>
    </border>
  </borders>
  <cellStyleXfs count="2">
    <xf numFmtId="0" fontId="0" fillId="0" borderId="0"/>
    <xf numFmtId="0" fontId="3" fillId="0" borderId="0" applyNumberFormat="0" applyFill="0" applyBorder="0" applyAlignment="0" applyProtection="0"/>
  </cellStyleXfs>
  <cellXfs count="35">
    <xf numFmtId="0" fontId="0" fillId="0" borderId="0" xfId="0"/>
    <xf numFmtId="164" fontId="0" fillId="0" borderId="0" xfId="0" applyNumberFormat="1" applyAlignment="1">
      <alignment horizontal="center" vertical="center"/>
    </xf>
    <xf numFmtId="0" fontId="0" fillId="0" borderId="0" xfId="0" applyAlignment="1">
      <alignment wrapText="1"/>
    </xf>
    <xf numFmtId="0" fontId="0" fillId="0" borderId="0" xfId="0" applyAlignment="1">
      <alignment horizontal="center" vertical="center" wrapText="1"/>
    </xf>
    <xf numFmtId="2" fontId="0" fillId="0" borderId="0" xfId="0" applyNumberFormat="1" applyAlignment="1">
      <alignment wrapText="1"/>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1" fontId="0" fillId="2" borderId="1" xfId="0" applyNumberFormat="1" applyFill="1" applyBorder="1" applyAlignment="1">
      <alignment horizontal="center" vertical="center" wrapText="1"/>
    </xf>
    <xf numFmtId="164" fontId="0" fillId="0" borderId="1" xfId="0" applyNumberForma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1" fontId="0" fillId="0" borderId="1" xfId="0" applyNumberFormat="1" applyBorder="1" applyAlignment="1">
      <alignment horizontal="center" vertical="center" wrapText="1"/>
    </xf>
    <xf numFmtId="0" fontId="3" fillId="0" borderId="1" xfId="1" applyBorder="1" applyAlignment="1">
      <alignment horizontal="center" vertical="center" wrapText="1"/>
    </xf>
    <xf numFmtId="0" fontId="4" fillId="0" borderId="1" xfId="0" applyFont="1" applyBorder="1" applyAlignment="1">
      <alignment horizontal="center" vertical="center"/>
    </xf>
    <xf numFmtId="0" fontId="0" fillId="0" borderId="1" xfId="0" applyBorder="1" applyAlignment="1">
      <alignment horizontal="center" vertical="center"/>
    </xf>
    <xf numFmtId="0" fontId="3" fillId="0" borderId="1" xfId="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8" fillId="5"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0" fillId="5" borderId="2" xfId="0" applyFont="1" applyFill="1" applyBorder="1" applyAlignment="1">
      <alignment wrapText="1"/>
    </xf>
    <xf numFmtId="0" fontId="0" fillId="0" borderId="2" xfId="0" applyBorder="1" applyAlignment="1">
      <alignment horizontal="center" vertical="center" wrapText="1"/>
    </xf>
    <xf numFmtId="0" fontId="0" fillId="0" borderId="2" xfId="0" applyBorder="1" applyAlignment="1">
      <alignment horizontal="right" wrapText="1"/>
    </xf>
    <xf numFmtId="0" fontId="11" fillId="5" borderId="2" xfId="0" applyFont="1" applyFill="1" applyBorder="1" applyAlignment="1">
      <alignment wrapText="1"/>
    </xf>
    <xf numFmtId="0" fontId="0" fillId="0" borderId="1" xfId="0" applyBorder="1" applyAlignment="1">
      <alignment wrapText="1"/>
    </xf>
    <xf numFmtId="0" fontId="5"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3" fillId="0" borderId="0" xfId="1" applyAlignment="1">
      <alignment wrapText="1"/>
    </xf>
    <xf numFmtId="0" fontId="3" fillId="0" borderId="0" xfId="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youtu.be/V4tCb_Ed0MU?si=CTouZaY5RtzT2-8H" TargetMode="External"/><Relationship Id="rId21" Type="http://schemas.openxmlformats.org/officeDocument/2006/relationships/hyperlink" Target="https://youtu.be/c3h6WmjBijo?si=LRAbDvjr5TKNZmO4" TargetMode="External"/><Relationship Id="rId324" Type="http://schemas.openxmlformats.org/officeDocument/2006/relationships/hyperlink" Target="https://www.youtube.com/watch?v=sHN2AIiQ7Qo&amp;ab_channel=McMasterUniversity" TargetMode="External"/><Relationship Id="rId531" Type="http://schemas.openxmlformats.org/officeDocument/2006/relationships/hyperlink" Target="https://www.traceinternational.org/trace-foundation" TargetMode="External"/><Relationship Id="rId170" Type="http://schemas.openxmlformats.org/officeDocument/2006/relationships/hyperlink" Target="https://foyleyoungpoets.org/" TargetMode="External"/><Relationship Id="rId268" Type="http://schemas.openxmlformats.org/officeDocument/2006/relationships/hyperlink" Target="https://youtu.be/apswEIj8D3o?si=MJ1t-0zdkOtixPpZ" TargetMode="External"/><Relationship Id="rId475" Type="http://schemas.openxmlformats.org/officeDocument/2006/relationships/hyperlink" Target="http://shdf.org/" TargetMode="External"/><Relationship Id="rId32" Type="http://schemas.openxmlformats.org/officeDocument/2006/relationships/hyperlink" Target="mailto:info@aimstalentexamination.com" TargetMode="External"/><Relationship Id="rId128" Type="http://schemas.openxmlformats.org/officeDocument/2006/relationships/hyperlink" Target="https://www.digitalindia.gov.in/" TargetMode="External"/><Relationship Id="rId335" Type="http://schemas.openxmlformats.org/officeDocument/2006/relationships/hyperlink" Target="https://awards.gov.in/" TargetMode="External"/><Relationship Id="rId542" Type="http://schemas.openxmlformats.org/officeDocument/2006/relationships/hyperlink" Target="https://www.youtube.com/watch?v=Piv7Af2gAQM" TargetMode="External"/><Relationship Id="rId181" Type="http://schemas.openxmlformats.org/officeDocument/2006/relationships/hyperlink" Target="mailto:info@gemseducation.com" TargetMode="External"/><Relationship Id="rId402" Type="http://schemas.openxmlformats.org/officeDocument/2006/relationships/hyperlink" Target="https://www.youtube.com/watch?v=TVYc_U6ckgw&amp;ab_channel=VimIndiaOfficial" TargetMode="External"/><Relationship Id="rId279" Type="http://schemas.openxmlformats.org/officeDocument/2006/relationships/hyperlink" Target="https://www.youtube.com/live/9K78PWHQxu4?si=sk1Jd8KZj0i_Knvc" TargetMode="External"/><Relationship Id="rId486" Type="http://schemas.openxmlformats.org/officeDocument/2006/relationships/hyperlink" Target="https://www.youtube.com/watch?v=epGichDxbzc" TargetMode="External"/><Relationship Id="rId43" Type="http://schemas.openxmlformats.org/officeDocument/2006/relationships/hyperlink" Target="mailto:admissions@amrita.edu" TargetMode="External"/><Relationship Id="rId139" Type="http://schemas.openxmlformats.org/officeDocument/2006/relationships/hyperlink" Target="mailto:info@drreddysfoundation.org" TargetMode="External"/><Relationship Id="rId346" Type="http://schemas.openxmlformats.org/officeDocument/2006/relationships/hyperlink" Target="https://www.youtube.com/watch?v=YHJvrk5oPDk&amp;ab_channel=McMasterUniversity" TargetMode="External"/><Relationship Id="rId553" Type="http://schemas.openxmlformats.org/officeDocument/2006/relationships/hyperlink" Target="https://scholarships.uq.edu.au/" TargetMode="External"/><Relationship Id="rId192" Type="http://schemas.openxmlformats.org/officeDocument/2006/relationships/hyperlink" Target="https://www.youtube.com/watch?v=sample-link" TargetMode="External"/><Relationship Id="rId206" Type="http://schemas.openxmlformats.org/officeDocument/2006/relationships/hyperlink" Target="https://youtu.be/sLZd7mTtjBY?si=Rn9wqtvakh9P2cjH" TargetMode="External"/><Relationship Id="rId413" Type="http://schemas.openxmlformats.org/officeDocument/2006/relationships/hyperlink" Target="https://scholarshipportal.mp.nic.in/Public/OtherSchemes/GB.aspx?ID=MTM=" TargetMode="External"/><Relationship Id="rId497" Type="http://schemas.openxmlformats.org/officeDocument/2006/relationships/hyperlink" Target="https://www.southindianbank.com/" TargetMode="External"/><Relationship Id="rId357" Type="http://schemas.openxmlformats.org/officeDocument/2006/relationships/hyperlink" Target="http://ncpcr.gov.in/" TargetMode="External"/><Relationship Id="rId54" Type="http://schemas.openxmlformats.org/officeDocument/2006/relationships/hyperlink" Target="https://youtu.be/3BcwzqVTnfE?si=3AWLm8UKW1AfMoQj" TargetMode="External"/><Relationship Id="rId217" Type="http://schemas.openxmlformats.org/officeDocument/2006/relationships/hyperlink" Target="https://youtu.be/OFy_9SJuMM8?si=1iIog7SyaHaGcKZ8" TargetMode="External"/><Relationship Id="rId564" Type="http://schemas.openxmlformats.org/officeDocument/2006/relationships/hyperlink" Target="https://youtu.be/dWPU3EIskSg?si=aXq5j0kVYTWWBk0Q" TargetMode="External"/><Relationship Id="rId424" Type="http://schemas.openxmlformats.org/officeDocument/2006/relationships/hyperlink" Target="http://scholarships.uk/" TargetMode="External"/><Relationship Id="rId270" Type="http://schemas.openxmlformats.org/officeDocument/2006/relationships/hyperlink" Target="https://kalakritifellowship.org/" TargetMode="External"/><Relationship Id="rId65" Type="http://schemas.openxmlformats.org/officeDocument/2006/relationships/hyperlink" Target="https://youtu.be/VX1nFXCWdlQ?si=2dDLeQMhEIH2HH9X" TargetMode="External"/><Relationship Id="rId130" Type="http://schemas.openxmlformats.org/officeDocument/2006/relationships/hyperlink" Target="mailto:info@digitalindia.gov.in" TargetMode="External"/><Relationship Id="rId368" Type="http://schemas.openxmlformats.org/officeDocument/2006/relationships/hyperlink" Target="https://www.youtube.com/watch?v=dQw4w9WgXcQ" TargetMode="External"/><Relationship Id="rId575" Type="http://schemas.openxmlformats.org/officeDocument/2006/relationships/hyperlink" Target="mailto:support.mahadbt@maharashtra.gov.in" TargetMode="External"/><Relationship Id="rId228" Type="http://schemas.openxmlformats.org/officeDocument/2006/relationships/hyperlink" Target="https://www.iitbmonash.org/" TargetMode="External"/><Relationship Id="rId435" Type="http://schemas.openxmlformats.org/officeDocument/2006/relationships/hyperlink" Target="https://www.pmrf.in/" TargetMode="External"/><Relationship Id="rId281" Type="http://schemas.openxmlformats.org/officeDocument/2006/relationships/hyperlink" Target="https://youtu.be/9ntXxjd20Is?si=0CxORBZXdFmDvFVh" TargetMode="External"/><Relationship Id="rId337" Type="http://schemas.openxmlformats.org/officeDocument/2006/relationships/hyperlink" Target="https://www.youtube.com/watch?v=example" TargetMode="External"/><Relationship Id="rId502" Type="http://schemas.openxmlformats.org/officeDocument/2006/relationships/hyperlink" Target="https://www.youtube.com/watch?v=TGfbeQNe_L8" TargetMode="External"/><Relationship Id="rId34" Type="http://schemas.openxmlformats.org/officeDocument/2006/relationships/hyperlink" Target="https://youtu.be/0JeSUv2SDug?si=5nHQLiTX6gwThEvl" TargetMode="External"/><Relationship Id="rId76" Type="http://schemas.openxmlformats.org/officeDocument/2006/relationships/hyperlink" Target="https://youtube.com/shorts/-L4JO4vgKEE?si=6EkaNVNySixMOdhz" TargetMode="External"/><Relationship Id="rId141" Type="http://schemas.openxmlformats.org/officeDocument/2006/relationships/hyperlink" Target="https://youtu.be/lQjy2Cdlhb8?si=9CGGlQoxRncr_ug_" TargetMode="External"/><Relationship Id="rId379" Type="http://schemas.openxmlformats.org/officeDocument/2006/relationships/hyperlink" Target="https://www.oil-india.com/" TargetMode="External"/><Relationship Id="rId544" Type="http://schemas.openxmlformats.org/officeDocument/2006/relationships/hyperlink" Target="https://youtu.be/FNWPhdCe-w8?si=Bt-ey4HW5xFrcGy7" TargetMode="External"/><Relationship Id="rId7" Type="http://schemas.openxmlformats.org/officeDocument/2006/relationships/hyperlink" Target="https://research.adobe.com/adobe-india-women-in-technology-scholarship/" TargetMode="External"/><Relationship Id="rId183" Type="http://schemas.openxmlformats.org/officeDocument/2006/relationships/hyperlink" Target="https://youtu.be/-2kK7oJipAw?si=VA-v7AyW9RxKxExQ" TargetMode="External"/><Relationship Id="rId239" Type="http://schemas.openxmlformats.org/officeDocument/2006/relationships/hyperlink" Target="https://youtu.be/IN0N7BLk6j8?si=STByYUdtRWuT59WZ" TargetMode="External"/><Relationship Id="rId390" Type="http://schemas.openxmlformats.org/officeDocument/2006/relationships/hyperlink" Target="https://www.youtube.com/watch?v=example" TargetMode="External"/><Relationship Id="rId404" Type="http://schemas.openxmlformats.org/officeDocument/2006/relationships/hyperlink" Target="https://www.youtube.com/watch?v=oj_JgNEOG-c&amp;ab_channel=InformationGroup%28IG%29" TargetMode="External"/><Relationship Id="rId446" Type="http://schemas.openxmlformats.org/officeDocument/2006/relationships/hyperlink" Target="https://www.youtube.com/watch?v=5VI2H5-XfLs" TargetMode="External"/><Relationship Id="rId250" Type="http://schemas.openxmlformats.org/officeDocument/2006/relationships/hyperlink" Target="https://youtu.be/Z4lka4HTEFI?si=qSzmZyjAGEJeZJvA" TargetMode="External"/><Relationship Id="rId292" Type="http://schemas.openxmlformats.org/officeDocument/2006/relationships/hyperlink" Target="https://youtu.be/jR7ysZE2uFM?si=sogKlBjDsdKqsfHw" TargetMode="External"/><Relationship Id="rId306" Type="http://schemas.openxmlformats.org/officeDocument/2006/relationships/hyperlink" Target="https://www.iitgn.ac.in/" TargetMode="External"/><Relationship Id="rId488" Type="http://schemas.openxmlformats.org/officeDocument/2006/relationships/hyperlink" Target="https://www.youtube.com/watch?v=yiAtoo3VzBs" TargetMode="External"/><Relationship Id="rId45" Type="http://schemas.openxmlformats.org/officeDocument/2006/relationships/hyperlink" Target="mailto:amsinfo@ametsoc.org" TargetMode="External"/><Relationship Id="rId87" Type="http://schemas.openxmlformats.org/officeDocument/2006/relationships/hyperlink" Target="https://youtu.be/qD8dN7i-zHw?si=afXPslSjCXl_-SNW" TargetMode="External"/><Relationship Id="rId110" Type="http://schemas.openxmlformats.org/officeDocument/2006/relationships/hyperlink" Target="https://www.indiaculture.gov.in/" TargetMode="External"/><Relationship Id="rId348" Type="http://schemas.openxmlformats.org/officeDocument/2006/relationships/hyperlink" Target="https://www.youtube.com/results?search_query=National+Science+Concours+(NSC)+" TargetMode="External"/><Relationship Id="rId513" Type="http://schemas.openxmlformats.org/officeDocument/2006/relationships/hyperlink" Target="https://www.tatahousing.in/" TargetMode="External"/><Relationship Id="rId555" Type="http://schemas.openxmlformats.org/officeDocument/2006/relationships/hyperlink" Target="https://www.myscheme.gov.in/schemes/vnmatv" TargetMode="External"/><Relationship Id="rId152" Type="http://schemas.openxmlformats.org/officeDocument/2006/relationships/hyperlink" Target="https://ficart.org/emerging-artist-award-1" TargetMode="External"/><Relationship Id="rId194" Type="http://schemas.openxmlformats.org/officeDocument/2006/relationships/hyperlink" Target="https://www.competitionsciences.org/competitions/google-science-fair/" TargetMode="External"/><Relationship Id="rId208" Type="http://schemas.openxmlformats.org/officeDocument/2006/relationships/hyperlink" Target="https://www.hindischolarshipkerala.com/" TargetMode="External"/><Relationship Id="rId415" Type="http://schemas.openxmlformats.org/officeDocument/2006/relationships/hyperlink" Target="https://scholarships.gov.in/" TargetMode="External"/><Relationship Id="rId457" Type="http://schemas.openxmlformats.org/officeDocument/2006/relationships/hyperlink" Target="https://sahitya-akademi.gov.in/" TargetMode="External"/><Relationship Id="rId261" Type="http://schemas.openxmlformats.org/officeDocument/2006/relationships/hyperlink" Target="https://youtu.be/lfAS-_7h_ks?si=BgiILfub3rLRTza2" TargetMode="External"/><Relationship Id="rId499" Type="http://schemas.openxmlformats.org/officeDocument/2006/relationships/hyperlink" Target="https://www.southindianbank.com/" TargetMode="External"/><Relationship Id="rId14" Type="http://schemas.openxmlformats.org/officeDocument/2006/relationships/hyperlink" Target="mailto:info@aicte-india.org" TargetMode="External"/><Relationship Id="rId56" Type="http://schemas.openxmlformats.org/officeDocument/2006/relationships/hyperlink" Target="https://www.bathspa.ac.uk/students/student-finance/scholarships-and-bursaries/" TargetMode="External"/><Relationship Id="rId317" Type="http://schemas.openxmlformats.org/officeDocument/2006/relationships/hyperlink" Target="https://harchhatravratti.highereduhry.ac.in/" TargetMode="External"/><Relationship Id="rId359" Type="http://schemas.openxmlformats.org/officeDocument/2006/relationships/hyperlink" Target="https://necouncil.gov.in/" TargetMode="External"/><Relationship Id="rId524" Type="http://schemas.openxmlformats.org/officeDocument/2006/relationships/hyperlink" Target="https://www.youtube.com/watch?v=F-7khFXZAFM" TargetMode="External"/><Relationship Id="rId566" Type="http://schemas.openxmlformats.org/officeDocument/2006/relationships/hyperlink" Target="https://youtu.be/c2zIUalBiJk?si=V0PXCsKdqrVs5eby" TargetMode="External"/><Relationship Id="rId98" Type="http://schemas.openxmlformats.org/officeDocument/2006/relationships/hyperlink" Target="https://www.colgate.com/en-in/smile-karo-aur-shuru-ho-jao/foundation-scholarship" TargetMode="External"/><Relationship Id="rId121" Type="http://schemas.openxmlformats.org/officeDocument/2006/relationships/hyperlink" Target="mailto:international@deakin.edu.au" TargetMode="External"/><Relationship Id="rId163" Type="http://schemas.openxmlformats.org/officeDocument/2006/relationships/hyperlink" Target="https://www.foundationforexcellence.org/" TargetMode="External"/><Relationship Id="rId219" Type="http://schemas.openxmlformats.org/officeDocument/2006/relationships/hyperlink" Target="https://youtu.be/HbQKM1DDhIU?si=KXw58eIFyMOZAP25" TargetMode="External"/><Relationship Id="rId370" Type="http://schemas.openxmlformats.org/officeDocument/2006/relationships/hyperlink" Target="https://www.youtube.com/watch?v=dQw4w9WgXcQ" TargetMode="External"/><Relationship Id="rId426" Type="http://schemas.openxmlformats.org/officeDocument/2006/relationships/hyperlink" Target="https://www.youtube.com/results?search_query=Pre+and+Post+Matric+Scholarship+for+OBC+students%2C+Delhi" TargetMode="External"/><Relationship Id="rId230" Type="http://schemas.openxmlformats.org/officeDocument/2006/relationships/hyperlink" Target="https://www.braingainmag.com/undergraduate-scholarships-the-university-of-nottingham.htm" TargetMode="External"/><Relationship Id="rId468" Type="http://schemas.openxmlformats.org/officeDocument/2006/relationships/hyperlink" Target="https://www.youtube.com/watch?v=Aqip2CeQHBU" TargetMode="External"/><Relationship Id="rId25" Type="http://schemas.openxmlformats.org/officeDocument/2006/relationships/hyperlink" Target="mailto:info@akankshascholarship.com" TargetMode="External"/><Relationship Id="rId67" Type="http://schemas.openxmlformats.org/officeDocument/2006/relationships/hyperlink" Target="https://youtu.be/MQU59DL-9HI?si=nzHIik8wNDj_opv2" TargetMode="External"/><Relationship Id="rId272" Type="http://schemas.openxmlformats.org/officeDocument/2006/relationships/hyperlink" Target="https://karunyavarsham.org/" TargetMode="External"/><Relationship Id="rId328" Type="http://schemas.openxmlformats.org/officeDocument/2006/relationships/hyperlink" Target="https://www.youtube.com/watch?v=gNR_eIUdxCI&amp;ab_channel=McMasterUniversity" TargetMode="External"/><Relationship Id="rId535" Type="http://schemas.openxmlformats.org/officeDocument/2006/relationships/hyperlink" Target="https://highereducation.tripura.gov.in/DHE/scholarship-scheme" TargetMode="External"/><Relationship Id="rId132" Type="http://schemas.openxmlformats.org/officeDocument/2006/relationships/hyperlink" Target="https://youtu.be/xDMDHBt8gGk?si=wJLetGkscASCy1cQ" TargetMode="External"/><Relationship Id="rId174" Type="http://schemas.openxmlformats.org/officeDocument/2006/relationships/hyperlink" Target="https://youtu.be/gYeWSt0fLCM?si=URWbh0gYa2BsTpM_" TargetMode="External"/><Relationship Id="rId381" Type="http://schemas.openxmlformats.org/officeDocument/2006/relationships/hyperlink" Target="https://ongcscholar.org/" TargetMode="External"/><Relationship Id="rId241" Type="http://schemas.openxmlformats.org/officeDocument/2006/relationships/hyperlink" Target="https://scholarships.gov.in/" TargetMode="External"/><Relationship Id="rId437" Type="http://schemas.openxmlformats.org/officeDocument/2006/relationships/hyperlink" Target="https://www.mha.gov.in/sites/default/files/PIIPrimeMinister%27sScholarshipScheme25052018.pdf" TargetMode="External"/><Relationship Id="rId479" Type="http://schemas.openxmlformats.org/officeDocument/2006/relationships/hyperlink" Target="https://www.buddy4study.com/" TargetMode="External"/><Relationship Id="rId36" Type="http://schemas.openxmlformats.org/officeDocument/2006/relationships/hyperlink" Target="https://www.aiysee.org/" TargetMode="External"/><Relationship Id="rId283" Type="http://schemas.openxmlformats.org/officeDocument/2006/relationships/hyperlink" Target="https://www.loreal.in/" TargetMode="External"/><Relationship Id="rId339" Type="http://schemas.openxmlformats.org/officeDocument/2006/relationships/hyperlink" Target="https://www.youtube.com/watch?v=dQw4w9WgXcQ" TargetMode="External"/><Relationship Id="rId490" Type="http://schemas.openxmlformats.org/officeDocument/2006/relationships/hyperlink" Target="https://www.youtube.com/watch?v=2bMyW15woIQ" TargetMode="External"/><Relationship Id="rId504" Type="http://schemas.openxmlformats.org/officeDocument/2006/relationships/hyperlink" Target="https://www.youtube.com/watch?v=cL51RNPGNh0" TargetMode="External"/><Relationship Id="rId546" Type="http://schemas.openxmlformats.org/officeDocument/2006/relationships/hyperlink" Target="https://youtu.be/FNWPhdCe-w8?si=Bt-ey4HW5xFrcGy7" TargetMode="External"/><Relationship Id="rId78" Type="http://schemas.openxmlformats.org/officeDocument/2006/relationships/hyperlink" Target="mailto:info@brazilian-scholarships.gov.br" TargetMode="External"/><Relationship Id="rId101" Type="http://schemas.openxmlformats.org/officeDocument/2006/relationships/hyperlink" Target="https://clb.ac.il/" TargetMode="External"/><Relationship Id="rId143" Type="http://schemas.openxmlformats.org/officeDocument/2006/relationships/hyperlink" Target="https://www.myscheme.gov.in/schemes/mcm-min" TargetMode="External"/><Relationship Id="rId185" Type="http://schemas.openxmlformats.org/officeDocument/2006/relationships/hyperlink" Target="https://gat.gitam.edu/" TargetMode="External"/><Relationship Id="rId350" Type="http://schemas.openxmlformats.org/officeDocument/2006/relationships/hyperlink" Target="https://www.youtube.com/results?search_query=National+Space+Society+Art+Contest+" TargetMode="External"/><Relationship Id="rId406" Type="http://schemas.openxmlformats.org/officeDocument/2006/relationships/hyperlink" Target="https://socialjustice.gov.in/" TargetMode="External"/><Relationship Id="rId9" Type="http://schemas.openxmlformats.org/officeDocument/2006/relationships/hyperlink" Target="mailto:wit-scholarship@adobe.com" TargetMode="External"/><Relationship Id="rId210" Type="http://schemas.openxmlformats.org/officeDocument/2006/relationships/hyperlink" Target="https://careerguidance.unilearn.org.in/scholarship/hindi-scholarship-hs/" TargetMode="External"/><Relationship Id="rId392" Type="http://schemas.openxmlformats.org/officeDocument/2006/relationships/hyperlink" Target="https://www.youtube.com/channel/UCal9CsKrzTEyJ6k0-rz5g5A" TargetMode="External"/><Relationship Id="rId448" Type="http://schemas.openxmlformats.org/officeDocument/2006/relationships/hyperlink" Target="https://www.youtube.com/watch?v=c4yUqrbAWKo" TargetMode="External"/><Relationship Id="rId252" Type="http://schemas.openxmlformats.org/officeDocument/2006/relationships/hyperlink" Target="https://in.linkedin.com/company/collegedekho" TargetMode="External"/><Relationship Id="rId294" Type="http://schemas.openxmlformats.org/officeDocument/2006/relationships/hyperlink" Target="https://youtu.be/sepGs9F7lJ8?si=0HSGJ7nCgDrBpHYy" TargetMode="External"/><Relationship Id="rId308" Type="http://schemas.openxmlformats.org/officeDocument/2006/relationships/hyperlink" Target="http://meghalayaborderareas.org/" TargetMode="External"/><Relationship Id="rId515" Type="http://schemas.openxmlformats.org/officeDocument/2006/relationships/hyperlink" Target="https://himachal.nic.in/" TargetMode="External"/><Relationship Id="rId47" Type="http://schemas.openxmlformats.org/officeDocument/2006/relationships/hyperlink" Target="mailto:info@aicte-india.org" TargetMode="External"/><Relationship Id="rId89" Type="http://schemas.openxmlformats.org/officeDocument/2006/relationships/hyperlink" Target="https://chandigarh.gov.in/" TargetMode="External"/><Relationship Id="rId112" Type="http://schemas.openxmlformats.org/officeDocument/2006/relationships/hyperlink" Target="mailto:info@indiaculture.gov.in" TargetMode="External"/><Relationship Id="rId154" Type="http://schemas.openxmlformats.org/officeDocument/2006/relationships/hyperlink" Target="mailto:info@fica.in" TargetMode="External"/><Relationship Id="rId361" Type="http://schemas.openxmlformats.org/officeDocument/2006/relationships/hyperlink" Target="https://necouncil.gov.in/" TargetMode="External"/><Relationship Id="rId557" Type="http://schemas.openxmlformats.org/officeDocument/2006/relationships/hyperlink" Target="https://www.veltech.edu.in/veltech-mahatma-gandhi-national-merit-scholarship/" TargetMode="External"/><Relationship Id="rId196" Type="http://schemas.openxmlformats.org/officeDocument/2006/relationships/hyperlink" Target="mailto:info@googlesciencefair.com" TargetMode="External"/><Relationship Id="rId417" Type="http://schemas.openxmlformats.org/officeDocument/2006/relationships/hyperlink" Target="https://scholarships.gov.in/" TargetMode="External"/><Relationship Id="rId459" Type="http://schemas.openxmlformats.org/officeDocument/2006/relationships/hyperlink" Target="http://www.sahujaintrust.timesofindia.com/" TargetMode="External"/><Relationship Id="rId16" Type="http://schemas.openxmlformats.org/officeDocument/2006/relationships/hyperlink" Target="https://youtu.be/84wV9AYE1E4?si=nUwiiAdShafyAaeS" TargetMode="External"/><Relationship Id="rId221" Type="http://schemas.openxmlformats.org/officeDocument/2006/relationships/hyperlink" Target="https://www.iisc.ac.in/" TargetMode="External"/><Relationship Id="rId263" Type="http://schemas.openxmlformats.org/officeDocument/2006/relationships/hyperlink" Target="https://youtu.be/QIn0MWzV6IQ?si=wMUZMHXlgYLN40xv" TargetMode="External"/><Relationship Id="rId319" Type="http://schemas.openxmlformats.org/officeDocument/2006/relationships/hyperlink" Target="https://imaginecup.microsoft.com/en-us" TargetMode="External"/><Relationship Id="rId470" Type="http://schemas.openxmlformats.org/officeDocument/2006/relationships/hyperlink" Target="https://www.youtube.com/watch?v=nTACvZGra6U" TargetMode="External"/><Relationship Id="rId526" Type="http://schemas.openxmlformats.org/officeDocument/2006/relationships/hyperlink" Target="https://youtu.be/sample" TargetMode="External"/><Relationship Id="rId58" Type="http://schemas.openxmlformats.org/officeDocument/2006/relationships/hyperlink" Target="https://www.youtube.com/watch?v=sample-link" TargetMode="External"/><Relationship Id="rId123" Type="http://schemas.openxmlformats.org/officeDocument/2006/relationships/hyperlink" Target="https://youtu.be/HGqvSpmUh4A?si=v11VpZjrOyrrfnpF" TargetMode="External"/><Relationship Id="rId330" Type="http://schemas.openxmlformats.org/officeDocument/2006/relationships/hyperlink" Target="https://www.youtube.com/results?search_query=Muslim+Nadar+Girls+Scholarship%2C+Kerala" TargetMode="External"/><Relationship Id="rId568" Type="http://schemas.openxmlformats.org/officeDocument/2006/relationships/hyperlink" Target="https://youtu.be/c2zIUalBiJk?si=V0PXCsKdqrVs5eby" TargetMode="External"/><Relationship Id="rId165" Type="http://schemas.openxmlformats.org/officeDocument/2006/relationships/hyperlink" Target="mailto:info@foundationforexcellence.org" TargetMode="External"/><Relationship Id="rId372" Type="http://schemas.openxmlformats.org/officeDocument/2006/relationships/hyperlink" Target="https://www.youtube.com/watch?v=dQw4w9WgXcQ" TargetMode="External"/><Relationship Id="rId428" Type="http://schemas.openxmlformats.org/officeDocument/2006/relationships/hyperlink" Target="https://www.youtube.com/watch?v=kcCM5ZtBltE&amp;ab_channel=McMasterUniversity" TargetMode="External"/><Relationship Id="rId232" Type="http://schemas.openxmlformats.org/officeDocument/2006/relationships/hyperlink" Target="https://www.linkedin.com/company/1484122?goback=%2Efcs_GLHD_braingainmag_false_*2_*2_*2_*2_*2_*2_*2_*2_*2_*2_*2_*2&amp;trk=ncsrch_hits" TargetMode="External"/><Relationship Id="rId274" Type="http://schemas.openxmlformats.org/officeDocument/2006/relationships/hyperlink" Target="https://keepindiasmilingfoundation.org/" TargetMode="External"/><Relationship Id="rId481" Type="http://schemas.openxmlformats.org/officeDocument/2006/relationships/hyperlink" Target="https://scholarshiplearn.com/" TargetMode="External"/><Relationship Id="rId27" Type="http://schemas.openxmlformats.org/officeDocument/2006/relationships/hyperlink" Target="https://www.aieess.org/" TargetMode="External"/><Relationship Id="rId69" Type="http://schemas.openxmlformats.org/officeDocument/2006/relationships/hyperlink" Target="https://www.acu.edu.au/study-at-acu/fees-and-scholarships/find-a-scholarship/bob-and-margaret-frater-international-travel-scholarship" TargetMode="External"/><Relationship Id="rId134" Type="http://schemas.openxmlformats.org/officeDocument/2006/relationships/hyperlink" Target="https://nitc.ac.in/" TargetMode="External"/><Relationship Id="rId537" Type="http://schemas.openxmlformats.org/officeDocument/2006/relationships/hyperlink" Target="https://highereducation.tripura.gov.in/DHE/scholarship-scheme" TargetMode="External"/><Relationship Id="rId80" Type="http://schemas.openxmlformats.org/officeDocument/2006/relationships/hyperlink" Target="https://youtu.be/TlDHuFtw-V8?si=Pb8j9wlLC1HzLfgR" TargetMode="External"/><Relationship Id="rId176" Type="http://schemas.openxmlformats.org/officeDocument/2006/relationships/hyperlink" Target="https://forstu.co/sdetails/172" TargetMode="External"/><Relationship Id="rId341" Type="http://schemas.openxmlformats.org/officeDocument/2006/relationships/hyperlink" Target="https://www.youtube.com/watch?v=dQw4w9WgXcQ" TargetMode="External"/><Relationship Id="rId383" Type="http://schemas.openxmlformats.org/officeDocument/2006/relationships/hyperlink" Target="https://www.ongcscholar.org/" TargetMode="External"/><Relationship Id="rId439" Type="http://schemas.openxmlformats.org/officeDocument/2006/relationships/hyperlink" Target="https://www.rdsethnascholarships.org/" TargetMode="External"/><Relationship Id="rId201" Type="http://schemas.openxmlformats.org/officeDocument/2006/relationships/hyperlink" Target="https://haryanascholarship.gov.in/" TargetMode="External"/><Relationship Id="rId243" Type="http://schemas.openxmlformats.org/officeDocument/2006/relationships/hyperlink" Target="mailto:IndiaCustomerCare@britishcouncil.org" TargetMode="External"/><Relationship Id="rId285" Type="http://schemas.openxmlformats.org/officeDocument/2006/relationships/hyperlink" Target="https://www.lnthydrocarbon.com/" TargetMode="External"/><Relationship Id="rId450" Type="http://schemas.openxmlformats.org/officeDocument/2006/relationships/hyperlink" Target="https://www.youtube.com/watch?v=ZhtOf-pnSn4" TargetMode="External"/><Relationship Id="rId506" Type="http://schemas.openxmlformats.org/officeDocument/2006/relationships/hyperlink" Target="https://www.youtube.com/watch?v=1S2Uuv9JyP0" TargetMode="External"/><Relationship Id="rId38" Type="http://schemas.openxmlformats.org/officeDocument/2006/relationships/hyperlink" Target="mailto:info@aiysee.org" TargetMode="External"/><Relationship Id="rId103" Type="http://schemas.openxmlformats.org/officeDocument/2006/relationships/hyperlink" Target="mailto:info@clb.ac.il" TargetMode="External"/><Relationship Id="rId310" Type="http://schemas.openxmlformats.org/officeDocument/2006/relationships/hyperlink" Target="https://www.mercedes-benz.com/" TargetMode="External"/><Relationship Id="rId492" Type="http://schemas.openxmlformats.org/officeDocument/2006/relationships/hyperlink" Target="https://www.youtube.com/watch?v=xtrDYso0lDU" TargetMode="External"/><Relationship Id="rId548" Type="http://schemas.openxmlformats.org/officeDocument/2006/relationships/hyperlink" Target="https://www.youtube.com/watch?v=h70fj6tlgoo" TargetMode="External"/><Relationship Id="rId91" Type="http://schemas.openxmlformats.org/officeDocument/2006/relationships/hyperlink" Target="mailto:info@chandigarh.gov.in" TargetMode="External"/><Relationship Id="rId145" Type="http://schemas.openxmlformats.org/officeDocument/2006/relationships/hyperlink" Target="mailto:info@earlysuccess.com" TargetMode="External"/><Relationship Id="rId187" Type="http://schemas.openxmlformats.org/officeDocument/2006/relationships/hyperlink" Target="mailto:info@gitam.edu" TargetMode="External"/><Relationship Id="rId352" Type="http://schemas.openxmlformats.org/officeDocument/2006/relationships/hyperlink" Target="https://www.youtube.com/watch?v=dQw4w9WgXcQ" TargetMode="External"/><Relationship Id="rId394" Type="http://schemas.openxmlformats.org/officeDocument/2006/relationships/hyperlink" Target="https://www.youtube.com/watch?v=plzaASpoyGY&amp;ab_channel=FACTTECHSHAH" TargetMode="External"/><Relationship Id="rId408" Type="http://schemas.openxmlformats.org/officeDocument/2006/relationships/hyperlink" Target="http://chandigarhsocialwelfare.gov.in/" TargetMode="External"/><Relationship Id="rId212" Type="http://schemas.openxmlformats.org/officeDocument/2006/relationships/hyperlink" Target="https://www.isdb.org/" TargetMode="External"/><Relationship Id="rId254" Type="http://schemas.openxmlformats.org/officeDocument/2006/relationships/hyperlink" Target="https://youtu.be/eI7-4ow27F4?si=IRdvHDpiyMjg6pGg" TargetMode="External"/><Relationship Id="rId49" Type="http://schemas.openxmlformats.org/officeDocument/2006/relationships/hyperlink" Target="https://www.buddy4study.com/scholarship/financial-assistance-for-education-of-the-wards-of-beedi-cine-iomc-lsdm-workers-post-matric" TargetMode="External"/><Relationship Id="rId114" Type="http://schemas.openxmlformats.org/officeDocument/2006/relationships/hyperlink" Target="https://youtu.be/0Wcx_XJP-Y8?si=-rzeeZbdio0Mt2g9" TargetMode="External"/><Relationship Id="rId296" Type="http://schemas.openxmlformats.org/officeDocument/2006/relationships/hyperlink" Target="https://youtu.be/nUj-S68K_T4?si=gaDQR4FDTOKBbX-f" TargetMode="External"/><Relationship Id="rId461" Type="http://schemas.openxmlformats.org/officeDocument/2006/relationships/hyperlink" Target="https://collegiateedu.kerala.gov.in/" TargetMode="External"/><Relationship Id="rId517" Type="http://schemas.openxmlformats.org/officeDocument/2006/relationships/hyperlink" Target="https://himachal.nic.in/" TargetMode="External"/><Relationship Id="rId559" Type="http://schemas.openxmlformats.org/officeDocument/2006/relationships/hyperlink" Target="https://www.vidyadhan.org/apply" TargetMode="External"/><Relationship Id="rId60" Type="http://schemas.openxmlformats.org/officeDocument/2006/relationships/hyperlink" Target="https://youtu.be/DYSKtj4pJxU?si=Tz03D07I2LHLAFGo" TargetMode="External"/><Relationship Id="rId156" Type="http://schemas.openxmlformats.org/officeDocument/2006/relationships/hyperlink" Target="https://youtu.be/VzVOXkTyfZw?si=mpfgTpBjV9BKaGDz" TargetMode="External"/><Relationship Id="rId198" Type="http://schemas.openxmlformats.org/officeDocument/2006/relationships/hyperlink" Target="https://www.vit.ac.in/" TargetMode="External"/><Relationship Id="rId321" Type="http://schemas.openxmlformats.org/officeDocument/2006/relationships/hyperlink" Target="https://moschampionship.certiport.com/competition-details/" TargetMode="External"/><Relationship Id="rId363" Type="http://schemas.openxmlformats.org/officeDocument/2006/relationships/hyperlink" Target="https://www.newindiafoundation.org/" TargetMode="External"/><Relationship Id="rId419" Type="http://schemas.openxmlformats.org/officeDocument/2006/relationships/hyperlink" Target="https://he.uk.gov.in/dpages/scholarship-portal" TargetMode="External"/><Relationship Id="rId570" Type="http://schemas.openxmlformats.org/officeDocument/2006/relationships/hyperlink" Target="https://www.indiaculture.gov.in/award-scholarships-young-artists-different-cultural-fields" TargetMode="External"/><Relationship Id="rId223" Type="http://schemas.openxmlformats.org/officeDocument/2006/relationships/hyperlink" Target="http://office.ipciisc.ac.in/" TargetMode="External"/><Relationship Id="rId430" Type="http://schemas.openxmlformats.org/officeDocument/2006/relationships/hyperlink" Target="https://www.youtube.com/watch?v=_dos-9FU3gQ&amp;ab_channel=NijuktiOdisha" TargetMode="External"/><Relationship Id="rId18" Type="http://schemas.openxmlformats.org/officeDocument/2006/relationships/hyperlink" Target="https://youtu.be/msFSCT-dLIo?si=V-vXM2yS42-S2hdt" TargetMode="External"/><Relationship Id="rId265" Type="http://schemas.openxmlformats.org/officeDocument/2006/relationships/hyperlink" Target="https://youtu.be/_yB3jRXaxzs?si=jqYfz-mXvelg38rU" TargetMode="External"/><Relationship Id="rId472" Type="http://schemas.openxmlformats.org/officeDocument/2006/relationships/hyperlink" Target="https://www.youtube.com/watch?v=NMVh1Pb3_40" TargetMode="External"/><Relationship Id="rId528" Type="http://schemas.openxmlformats.org/officeDocument/2006/relationships/hyperlink" Target="https://youtu.be/sample" TargetMode="External"/><Relationship Id="rId125" Type="http://schemas.openxmlformats.org/officeDocument/2006/relationships/hyperlink" Target="https://reliancefoundation.org/" TargetMode="External"/><Relationship Id="rId167" Type="http://schemas.openxmlformats.org/officeDocument/2006/relationships/hyperlink" Target="mailto:info@foundationforexcellence.org" TargetMode="External"/><Relationship Id="rId332" Type="http://schemas.openxmlformats.org/officeDocument/2006/relationships/hyperlink" Target="https://www.youtube.com/watch?v=wn255gT7DPo&amp;ab_channel=ShisakzzTombo" TargetMode="External"/><Relationship Id="rId374" Type="http://schemas.openxmlformats.org/officeDocument/2006/relationships/hyperlink" Target="https://www.youtube.com/watch?v=KLfA6ndXhX4" TargetMode="External"/><Relationship Id="rId71" Type="http://schemas.openxmlformats.org/officeDocument/2006/relationships/hyperlink" Target="mailto:info@frater-scholarships.org" TargetMode="External"/><Relationship Id="rId234" Type="http://schemas.openxmlformats.org/officeDocument/2006/relationships/hyperlink" Target="https://www.indiafellow.org/" TargetMode="External"/><Relationship Id="rId2" Type="http://schemas.openxmlformats.org/officeDocument/2006/relationships/hyperlink" Target="https://youtu.be/akbzXKUf9bQ?si=2ogYVeNHXvG_vXUL" TargetMode="External"/><Relationship Id="rId29" Type="http://schemas.openxmlformats.org/officeDocument/2006/relationships/hyperlink" Target="mailto:info@aieess.org" TargetMode="External"/><Relationship Id="rId276" Type="http://schemas.openxmlformats.org/officeDocument/2006/relationships/hyperlink" Target="https://khoranaprogram.org/" TargetMode="External"/><Relationship Id="rId441" Type="http://schemas.openxmlformats.org/officeDocument/2006/relationships/hyperlink" Target="https://mahadbt.maharashtra.gov.in/" TargetMode="External"/><Relationship Id="rId483" Type="http://schemas.openxmlformats.org/officeDocument/2006/relationships/hyperlink" Target="http://www.moe.gov.sg/" TargetMode="External"/><Relationship Id="rId539" Type="http://schemas.openxmlformats.org/officeDocument/2006/relationships/hyperlink" Target="https://mahadbt.maharashtra.gov.in/login/login" TargetMode="External"/><Relationship Id="rId40" Type="http://schemas.openxmlformats.org/officeDocument/2006/relationships/hyperlink" Target="mailto:info@amity.edu.sg" TargetMode="External"/><Relationship Id="rId136" Type="http://schemas.openxmlformats.org/officeDocument/2006/relationships/hyperlink" Target="mailto:chemistryquiz@nitc.ac.in" TargetMode="External"/><Relationship Id="rId178" Type="http://schemas.openxmlformats.org/officeDocument/2006/relationships/hyperlink" Target="mailto:info@gauravfoundation.org" TargetMode="External"/><Relationship Id="rId301" Type="http://schemas.openxmlformats.org/officeDocument/2006/relationships/hyperlink" Target="https://youtu.be/Ry8sggp0m1s?si=_U0aiyvgswxBmFWN" TargetMode="External"/><Relationship Id="rId343" Type="http://schemas.openxmlformats.org/officeDocument/2006/relationships/hyperlink" Target="http://www.mhrd.gov.in/" TargetMode="External"/><Relationship Id="rId550" Type="http://schemas.openxmlformats.org/officeDocument/2006/relationships/hyperlink" Target="https://www.youtube.com/watch?v=UaMBYBl_ll0" TargetMode="External"/><Relationship Id="rId82" Type="http://schemas.openxmlformats.org/officeDocument/2006/relationships/hyperlink" Target="mailto:btse@bihar.gov.in" TargetMode="External"/><Relationship Id="rId203" Type="http://schemas.openxmlformats.org/officeDocument/2006/relationships/hyperlink" Target="https://www.hdfcbank.com/" TargetMode="External"/><Relationship Id="rId385" Type="http://schemas.openxmlformats.org/officeDocument/2006/relationships/hyperlink" Target="https://www.opjems.com/" TargetMode="External"/><Relationship Id="rId245" Type="http://schemas.openxmlformats.org/officeDocument/2006/relationships/hyperlink" Target="https://youtu.be/uobndZQkTQI?si=1bsrHbaAktyiOyWv" TargetMode="External"/><Relationship Id="rId287" Type="http://schemas.openxmlformats.org/officeDocument/2006/relationships/hyperlink" Target="https://southasiainstitute.org/" TargetMode="External"/><Relationship Id="rId410" Type="http://schemas.openxmlformats.org/officeDocument/2006/relationships/hyperlink" Target="https://www.buddy4study.com/scholarship/post-matric-scholarships-scheme-for-minorities" TargetMode="External"/><Relationship Id="rId452" Type="http://schemas.openxmlformats.org/officeDocument/2006/relationships/hyperlink" Target="https://www.youtube.com/watch?v=Nu6Uki7c278" TargetMode="External"/><Relationship Id="rId494" Type="http://schemas.openxmlformats.org/officeDocument/2006/relationships/hyperlink" Target="https://youtu.be/sample" TargetMode="External"/><Relationship Id="rId508" Type="http://schemas.openxmlformats.org/officeDocument/2006/relationships/hyperlink" Target="https://www.youtube.com/watch?v=FQv6T_FcNwY" TargetMode="External"/><Relationship Id="rId105" Type="http://schemas.openxmlformats.org/officeDocument/2006/relationships/hyperlink" Target="https://youtu.be/cSgFLOc-OdQ?si=Q0Dgx1qj8g_mCtTr" TargetMode="External"/><Relationship Id="rId147" Type="http://schemas.openxmlformats.org/officeDocument/2006/relationships/hyperlink" Target="https://www.youtube.com/watch?v=sample-link" TargetMode="External"/><Relationship Id="rId312" Type="http://schemas.openxmlformats.org/officeDocument/2006/relationships/hyperlink" Target="https://www.youtube.com/watch?v=PGidNcYFe3U&amp;ab_channel=PCGeoKimberlite" TargetMode="External"/><Relationship Id="rId354" Type="http://schemas.openxmlformats.org/officeDocument/2006/relationships/hyperlink" Target="https://www.youtube.com/watch?v=dQw4w9WgXcQ" TargetMode="External"/><Relationship Id="rId51" Type="http://schemas.openxmlformats.org/officeDocument/2006/relationships/hyperlink" Target="https://youtu.be/t-NCO6NyvA8?si=wGldr0E113RihDxz" TargetMode="External"/><Relationship Id="rId93" Type="http://schemas.openxmlformats.org/officeDocument/2006/relationships/hyperlink" Target="https://youtu.be/NmxTFT0LeYM?si=UN8Ta_GARorLR9df" TargetMode="External"/><Relationship Id="rId189" Type="http://schemas.openxmlformats.org/officeDocument/2006/relationships/hyperlink" Target="https://youtu.be/3qKRfE1VleA?si=A7kI6zAXzNqWLCtj" TargetMode="External"/><Relationship Id="rId396" Type="http://schemas.openxmlformats.org/officeDocument/2006/relationships/hyperlink" Target="https://www.youtube.com/watch?v=examplelink" TargetMode="External"/><Relationship Id="rId561" Type="http://schemas.openxmlformats.org/officeDocument/2006/relationships/hyperlink" Target="https://www.vidyasaarathi.co.in/Vidyasaarathi/scholarship" TargetMode="External"/><Relationship Id="rId214" Type="http://schemas.openxmlformats.org/officeDocument/2006/relationships/hyperlink" Target="https://www.linkedin.com/company/islamic-development-bank/" TargetMode="External"/><Relationship Id="rId256" Type="http://schemas.openxmlformats.org/officeDocument/2006/relationships/hyperlink" Target="https://www.indusindfoundation.org/" TargetMode="External"/><Relationship Id="rId298" Type="http://schemas.openxmlformats.org/officeDocument/2006/relationships/hyperlink" Target="https://m-scholarship.org/" TargetMode="External"/><Relationship Id="rId421" Type="http://schemas.openxmlformats.org/officeDocument/2006/relationships/hyperlink" Target="https://www.youtube.com/results?search_query=Post-Matric+Scholarship+for+Schedule+Tribe+Students%2C+Nagaland" TargetMode="External"/><Relationship Id="rId463" Type="http://schemas.openxmlformats.org/officeDocument/2006/relationships/hyperlink" Target="https://santoorscholarships.com/" TargetMode="External"/><Relationship Id="rId519" Type="http://schemas.openxmlformats.org/officeDocument/2006/relationships/hyperlink" Target="https://www.technipenergies.com/" TargetMode="External"/><Relationship Id="rId116" Type="http://schemas.openxmlformats.org/officeDocument/2006/relationships/hyperlink" Target="https://www.daiict.ac.in/" TargetMode="External"/><Relationship Id="rId158" Type="http://schemas.openxmlformats.org/officeDocument/2006/relationships/hyperlink" Target="https://www.foundationforexcellence.org/" TargetMode="External"/><Relationship Id="rId323" Type="http://schemas.openxmlformats.org/officeDocument/2006/relationships/hyperlink" Target="https://www.education.gov.in/" TargetMode="External"/><Relationship Id="rId530" Type="http://schemas.openxmlformats.org/officeDocument/2006/relationships/hyperlink" Target="https://www.youtube.com/watch?v=iq_p3K-ib-E" TargetMode="External"/><Relationship Id="rId20" Type="http://schemas.openxmlformats.org/officeDocument/2006/relationships/hyperlink" Target="https://www.ajmalfoundation.org/lander" TargetMode="External"/><Relationship Id="rId62" Type="http://schemas.openxmlformats.org/officeDocument/2006/relationships/hyperlink" Target="https://jbnsts.ac.in/Home/sdgf8749854549sdf@sugfus.php" TargetMode="External"/><Relationship Id="rId365" Type="http://schemas.openxmlformats.org/officeDocument/2006/relationships/hyperlink" Target="https://nextgenerationindia.org/" TargetMode="External"/><Relationship Id="rId572" Type="http://schemas.openxmlformats.org/officeDocument/2006/relationships/hyperlink" Target="mailto:inaehq@inae.in" TargetMode="External"/><Relationship Id="rId225" Type="http://schemas.openxmlformats.org/officeDocument/2006/relationships/hyperlink" Target="https://www.youtube.com/IITGuwahatiOfficial" TargetMode="External"/><Relationship Id="rId267" Type="http://schemas.openxmlformats.org/officeDocument/2006/relationships/hyperlink" Target="https://youtu.be/PWhhyuMvzyU?si=H8CP8MQ1uOaKRchH" TargetMode="External"/><Relationship Id="rId432" Type="http://schemas.openxmlformats.org/officeDocument/2006/relationships/hyperlink" Target="https://www.youtube.com/watch?v=8symE5nq418&amp;ab_channel=AdvanceTechOdia" TargetMode="External"/><Relationship Id="rId474" Type="http://schemas.openxmlformats.org/officeDocument/2006/relationships/hyperlink" Target="https://www.youtube.com/watch?v=eZlrxNJhLKk" TargetMode="External"/><Relationship Id="rId127" Type="http://schemas.openxmlformats.org/officeDocument/2006/relationships/hyperlink" Target="mailto:scholarships@reliancefoundation.org" TargetMode="External"/><Relationship Id="rId31" Type="http://schemas.openxmlformats.org/officeDocument/2006/relationships/hyperlink" Target="https://youtu.be/vl4hqUDhulI?si=3EH6ZILlYMkkQWq6" TargetMode="External"/><Relationship Id="rId73" Type="http://schemas.openxmlformats.org/officeDocument/2006/relationships/hyperlink" Target="https://youtu.be/z4SLS_PrCtw?si=NfI-jBZ0pENLh6ke" TargetMode="External"/><Relationship Id="rId169" Type="http://schemas.openxmlformats.org/officeDocument/2006/relationships/hyperlink" Target="mailto:info@foundationforexcellence.org" TargetMode="External"/><Relationship Id="rId334" Type="http://schemas.openxmlformats.org/officeDocument/2006/relationships/hyperlink" Target="https://www.youtube.com/channel/UCyt8DLAN0L38aGz4zTD4Z6Q" TargetMode="External"/><Relationship Id="rId376" Type="http://schemas.openxmlformats.org/officeDocument/2006/relationships/hyperlink" Target="https://www.youtube.com/watch?v=tVrjZG1JcWM&amp;ab_channel=ScholarshipsYojana" TargetMode="External"/><Relationship Id="rId541" Type="http://schemas.openxmlformats.org/officeDocument/2006/relationships/hyperlink" Target="https://mahadbt.maharashtra.gov.in/login/login" TargetMode="External"/><Relationship Id="rId4" Type="http://schemas.openxmlformats.org/officeDocument/2006/relationships/hyperlink" Target="https://research.adobe.com/adobe-india-women-in-technology-scholarship/" TargetMode="External"/><Relationship Id="rId180" Type="http://schemas.openxmlformats.org/officeDocument/2006/relationships/hyperlink" Target="https://youtu.be/7YYeW37pvPE?si=IjqmKMm_de8QFT68" TargetMode="External"/><Relationship Id="rId236" Type="http://schemas.openxmlformats.org/officeDocument/2006/relationships/hyperlink" Target="https://youtu.be/I-paO5yCo70?si=R8EUIIyLEyxjZUGb" TargetMode="External"/><Relationship Id="rId278" Type="http://schemas.openxmlformats.org/officeDocument/2006/relationships/hyperlink" Target="http://kvpy.iisc.ac.in/" TargetMode="External"/><Relationship Id="rId401" Type="http://schemas.openxmlformats.org/officeDocument/2006/relationships/hyperlink" Target="https://state.bihar.gov.in/main/CitizenHome.html" TargetMode="External"/><Relationship Id="rId443" Type="http://schemas.openxmlformats.org/officeDocument/2006/relationships/hyperlink" Target="https://ryvp.rajasthan.gov.in/" TargetMode="External"/><Relationship Id="rId303" Type="http://schemas.openxmlformats.org/officeDocument/2006/relationships/hyperlink" Target="https://youtu.be/6-0ajsUiEX4?si=Yz--XasbVNdS1Xhw" TargetMode="External"/><Relationship Id="rId485" Type="http://schemas.openxmlformats.org/officeDocument/2006/relationships/hyperlink" Target="http://www.siemens.co.in/" TargetMode="External"/><Relationship Id="rId42" Type="http://schemas.openxmlformats.org/officeDocument/2006/relationships/hyperlink" Target="https://youtu.be/agVVR8bQWZ8?si=ctdAa_sYGsZbraX6" TargetMode="External"/><Relationship Id="rId84" Type="http://schemas.openxmlformats.org/officeDocument/2006/relationships/hyperlink" Target="https://www.youtube.com/watch?v=sample-link" TargetMode="External"/><Relationship Id="rId138" Type="http://schemas.openxmlformats.org/officeDocument/2006/relationships/hyperlink" Target="https://youtu.be/rDpuTfci0Mg?si=Bfz6YfqoCu8pLBA_" TargetMode="External"/><Relationship Id="rId345" Type="http://schemas.openxmlformats.org/officeDocument/2006/relationships/hyperlink" Target="http://www.nationalscholarshipexam.com/" TargetMode="External"/><Relationship Id="rId387" Type="http://schemas.openxmlformats.org/officeDocument/2006/relationships/hyperlink" Target="https://mahadbtmahait.gov.in/" TargetMode="External"/><Relationship Id="rId510" Type="http://schemas.openxmlformats.org/officeDocument/2006/relationships/hyperlink" Target="https://www.youtube.com/watch?v=1O2cjvov2YI" TargetMode="External"/><Relationship Id="rId552" Type="http://schemas.openxmlformats.org/officeDocument/2006/relationships/hyperlink" Target="https://www.youtube.com/watch?v=VmHLFipO0MM" TargetMode="External"/><Relationship Id="rId191" Type="http://schemas.openxmlformats.org/officeDocument/2006/relationships/hyperlink" Target="https://www.youtube.com/watch?v=sample-link" TargetMode="External"/><Relationship Id="rId205" Type="http://schemas.openxmlformats.org/officeDocument/2006/relationships/hyperlink" Target="https://serb.gov.in/" TargetMode="External"/><Relationship Id="rId247" Type="http://schemas.openxmlformats.org/officeDocument/2006/relationships/hyperlink" Target="http://www.indianscholarshiptrustfund.org/" TargetMode="External"/><Relationship Id="rId412" Type="http://schemas.openxmlformats.org/officeDocument/2006/relationships/hyperlink" Target="https://www.youtube.com/watch?v=pk3ORhTB2k4&amp;ab_channel=AKiBiNFO" TargetMode="External"/><Relationship Id="rId107" Type="http://schemas.openxmlformats.org/officeDocument/2006/relationships/hyperlink" Target="https://haryanawelfare.gov.in/" TargetMode="External"/><Relationship Id="rId289" Type="http://schemas.openxmlformats.org/officeDocument/2006/relationships/hyperlink" Target="http://www.lalitkala.gov.in/" TargetMode="External"/><Relationship Id="rId454" Type="http://schemas.openxmlformats.org/officeDocument/2006/relationships/hyperlink" Target="https://www.youtube.com/watch?v=P5IiGSDU1ew" TargetMode="External"/><Relationship Id="rId496" Type="http://schemas.openxmlformats.org/officeDocument/2006/relationships/hyperlink" Target="https://www.youtube.com/watch?v=TQClLEALgrw" TargetMode="External"/><Relationship Id="rId11" Type="http://schemas.openxmlformats.org/officeDocument/2006/relationships/hyperlink" Target="mailto:scholarship-maharashtra@maharashtra.gov.in" TargetMode="External"/><Relationship Id="rId53" Type="http://schemas.openxmlformats.org/officeDocument/2006/relationships/hyperlink" Target="https://theglobalscholarship.org/scholarships/babulal-nagarmal-satnalika?source=main" TargetMode="External"/><Relationship Id="rId149" Type="http://schemas.openxmlformats.org/officeDocument/2006/relationships/hyperlink" Target="https://www.federalbank.co.in/" TargetMode="External"/><Relationship Id="rId314" Type="http://schemas.openxmlformats.org/officeDocument/2006/relationships/hyperlink" Target="https://leverageedu.com/explore/indian-scholarships/nsp-merit-cum-means-scholarship/" TargetMode="External"/><Relationship Id="rId356" Type="http://schemas.openxmlformats.org/officeDocument/2006/relationships/hyperlink" Target="https://www.youtube.com/watch?v=dQw4w9WgXcQ" TargetMode="External"/><Relationship Id="rId398" Type="http://schemas.openxmlformats.org/officeDocument/2006/relationships/hyperlink" Target="https://www.youtube.com/watch?v=VquGKfH1X1w&amp;ab_channel=McMasterUniversity" TargetMode="External"/><Relationship Id="rId521" Type="http://schemas.openxmlformats.org/officeDocument/2006/relationships/hyperlink" Target="https://www.ted.com/participate/ted-fellows-program" TargetMode="External"/><Relationship Id="rId563" Type="http://schemas.openxmlformats.org/officeDocument/2006/relationships/hyperlink" Target="https://wb.gov.in/" TargetMode="External"/><Relationship Id="rId95" Type="http://schemas.openxmlformats.org/officeDocument/2006/relationships/hyperlink" Target="https://www.coalindia.in/" TargetMode="External"/><Relationship Id="rId160" Type="http://schemas.openxmlformats.org/officeDocument/2006/relationships/hyperlink" Target="mailto:info@foundationforexcellence.org" TargetMode="External"/><Relationship Id="rId216" Type="http://schemas.openxmlformats.org/officeDocument/2006/relationships/hyperlink" Target="https://www.theiet.org/" TargetMode="External"/><Relationship Id="rId423" Type="http://schemas.openxmlformats.org/officeDocument/2006/relationships/hyperlink" Target="https://www.youtube.com/watch?v=BRylRyqlINk&amp;ab_channel=MuthootBlue" TargetMode="External"/><Relationship Id="rId258" Type="http://schemas.openxmlformats.org/officeDocument/2006/relationships/hyperlink" Target="https://youtu.be/su2Xbsg4vJY?si=L5q3CWs2T9IGgTk0" TargetMode="External"/><Relationship Id="rId465" Type="http://schemas.openxmlformats.org/officeDocument/2006/relationships/hyperlink" Target="https://www.schindler.in/" TargetMode="External"/><Relationship Id="rId22" Type="http://schemas.openxmlformats.org/officeDocument/2006/relationships/hyperlink" Target="mailto:info@ajmalfoundation.org" TargetMode="External"/><Relationship Id="rId64" Type="http://schemas.openxmlformats.org/officeDocument/2006/relationships/hyperlink" Target="https://collegiateedu.kerala.gov.in/?page_id=1193&amp;lang=ml" TargetMode="External"/><Relationship Id="rId118" Type="http://schemas.openxmlformats.org/officeDocument/2006/relationships/hyperlink" Target="mailto:info@daiict.ac.in" TargetMode="External"/><Relationship Id="rId325" Type="http://schemas.openxmlformats.org/officeDocument/2006/relationships/hyperlink" Target="https://medhavikalyan.mp.gov.in/" TargetMode="External"/><Relationship Id="rId367" Type="http://schemas.openxmlformats.org/officeDocument/2006/relationships/hyperlink" Target="http://www.nirankari.org/" TargetMode="External"/><Relationship Id="rId532" Type="http://schemas.openxmlformats.org/officeDocument/2006/relationships/hyperlink" Target="https://www.youtube.com/watch?v=OJnnCwgvEC0" TargetMode="External"/><Relationship Id="rId574" Type="http://schemas.openxmlformats.org/officeDocument/2006/relationships/hyperlink" Target="https://youtu.be/Z31B7Q-q2GM?si=y6YD62dqzJbv0V23" TargetMode="External"/><Relationship Id="rId171" Type="http://schemas.openxmlformats.org/officeDocument/2006/relationships/hyperlink" Target="https://youtu.be/WCk9O8SVSCI?si=mZu5BooNve3ChwJH" TargetMode="External"/><Relationship Id="rId227" Type="http://schemas.openxmlformats.org/officeDocument/2006/relationships/hyperlink" Target="https://login.microsoftonline.com/" TargetMode="External"/><Relationship Id="rId269" Type="http://schemas.openxmlformats.org/officeDocument/2006/relationships/hyperlink" Target="https://youtu.be/yHDe3Lt5KoM?si=ZSWAXURXz9x_hvOq" TargetMode="External"/><Relationship Id="rId434" Type="http://schemas.openxmlformats.org/officeDocument/2006/relationships/hyperlink" Target="https://www.youtube.com/watch?v=cWWbMDURo5Y&amp;ab_channel=JKSTUDYMATERIALS" TargetMode="External"/><Relationship Id="rId476" Type="http://schemas.openxmlformats.org/officeDocument/2006/relationships/hyperlink" Target="https://www.youtube.com/watch?v=zWJnB_L4NNE" TargetMode="External"/><Relationship Id="rId33" Type="http://schemas.openxmlformats.org/officeDocument/2006/relationships/hyperlink" Target="https://www.aipmst.org/" TargetMode="External"/><Relationship Id="rId129" Type="http://schemas.openxmlformats.org/officeDocument/2006/relationships/hyperlink" Target="https://youtu.be/Y-Aob4G-SM4?si=LmGMsESCTLvOHSYe" TargetMode="External"/><Relationship Id="rId280" Type="http://schemas.openxmlformats.org/officeDocument/2006/relationships/hyperlink" Target="https://www.lntbuildindia.com/" TargetMode="External"/><Relationship Id="rId336" Type="http://schemas.openxmlformats.org/officeDocument/2006/relationships/hyperlink" Target="https://www.nestexam.in/" TargetMode="External"/><Relationship Id="rId501" Type="http://schemas.openxmlformats.org/officeDocument/2006/relationships/hyperlink" Target="https://mahadbtmahait.gov.in/" TargetMode="External"/><Relationship Id="rId543" Type="http://schemas.openxmlformats.org/officeDocument/2006/relationships/hyperlink" Target="https://legrandscholarship.co.in/" TargetMode="External"/><Relationship Id="rId75" Type="http://schemas.openxmlformats.org/officeDocument/2006/relationships/hyperlink" Target="https://www.scholarshipsforstudy.com/brazil-government-scholarships.html" TargetMode="External"/><Relationship Id="rId140" Type="http://schemas.openxmlformats.org/officeDocument/2006/relationships/hyperlink" Target="https://www.mygov.in/task/dst-and-texas-instruments-inc-india-innovation-challenge-design-contest-2018/" TargetMode="External"/><Relationship Id="rId182" Type="http://schemas.openxmlformats.org/officeDocument/2006/relationships/hyperlink" Target="https://www.humboldt-foundation.de/en/apply/sponsorship-programmes/german-chancellor-fellowship" TargetMode="External"/><Relationship Id="rId378" Type="http://schemas.openxmlformats.org/officeDocument/2006/relationships/hyperlink" Target="https://www.youtube.com/results?search_query=cummins+nurturing+brilliance+scholarship" TargetMode="External"/><Relationship Id="rId403" Type="http://schemas.openxmlformats.org/officeDocument/2006/relationships/hyperlink" Target="http://www.cg.nic.in/" TargetMode="External"/><Relationship Id="rId6" Type="http://schemas.openxmlformats.org/officeDocument/2006/relationships/hyperlink" Target="mailto:wit-scholarship@adobe.com" TargetMode="External"/><Relationship Id="rId238" Type="http://schemas.openxmlformats.org/officeDocument/2006/relationships/hyperlink" Target="https://www.shiksha.com/studyabroad/scholarships/india-international-excellence-scholarship" TargetMode="External"/><Relationship Id="rId445" Type="http://schemas.openxmlformats.org/officeDocument/2006/relationships/hyperlink" Target="https://serb.gov.in/" TargetMode="External"/><Relationship Id="rId487" Type="http://schemas.openxmlformats.org/officeDocument/2006/relationships/hyperlink" Target="http://www.soa.ac.in/" TargetMode="External"/><Relationship Id="rId291" Type="http://schemas.openxmlformats.org/officeDocument/2006/relationships/hyperlink" Target="https://www.lancaster.ac.uk/" TargetMode="External"/><Relationship Id="rId305" Type="http://schemas.openxmlformats.org/officeDocument/2006/relationships/hyperlink" Target="https://youtu.be/VTukkMJ3o6Q?si=qHcDOJCNzH1lORpk" TargetMode="External"/><Relationship Id="rId347" Type="http://schemas.openxmlformats.org/officeDocument/2006/relationships/hyperlink" Target="http://www.nationalscienceconcours.com/" TargetMode="External"/><Relationship Id="rId512" Type="http://schemas.openxmlformats.org/officeDocument/2006/relationships/hyperlink" Target="https://www.youtube.com/watch?v=CpIqg1pGUTw" TargetMode="External"/><Relationship Id="rId44" Type="http://schemas.openxmlformats.org/officeDocument/2006/relationships/hyperlink" Target="https://www.ametsoc.org/index.cfm/ams/information-for/students/ams-scholarships-and-fellowships/" TargetMode="External"/><Relationship Id="rId86" Type="http://schemas.openxmlformats.org/officeDocument/2006/relationships/hyperlink" Target="https://scholarships.gov.in/" TargetMode="External"/><Relationship Id="rId151" Type="http://schemas.openxmlformats.org/officeDocument/2006/relationships/hyperlink" Target="mailto:info@fhmf.org" TargetMode="External"/><Relationship Id="rId389" Type="http://schemas.openxmlformats.org/officeDocument/2006/relationships/hyperlink" Target="https://www.iitkgp.ac.in/department/BE" TargetMode="External"/><Relationship Id="rId554" Type="http://schemas.openxmlformats.org/officeDocument/2006/relationships/hyperlink" Target="https://www.youtube.com/watch?v=E9vAnL44ATM" TargetMode="External"/><Relationship Id="rId193" Type="http://schemas.openxmlformats.org/officeDocument/2006/relationships/hyperlink" Target="https://www.youtube.com/watch?v=sample-link" TargetMode="External"/><Relationship Id="rId207" Type="http://schemas.openxmlformats.org/officeDocument/2006/relationships/hyperlink" Target="https://www.myscheme.gov.in/schemes/hr-hrr" TargetMode="External"/><Relationship Id="rId249" Type="http://schemas.openxmlformats.org/officeDocument/2006/relationships/hyperlink" Target="http://indianhighcommission.com.my/" TargetMode="External"/><Relationship Id="rId414" Type="http://schemas.openxmlformats.org/officeDocument/2006/relationships/hyperlink" Target="https://youtu.be/ni1vj50XVf4?si=PZW3U4SVr_Dbth8y" TargetMode="External"/><Relationship Id="rId456" Type="http://schemas.openxmlformats.org/officeDocument/2006/relationships/hyperlink" Target="https://www.youtube.com/watch?v=uPY_uqYhWI8" TargetMode="External"/><Relationship Id="rId498" Type="http://schemas.openxmlformats.org/officeDocument/2006/relationships/hyperlink" Target="https://www.youtube.com/watch?v=dElNTKEa61s" TargetMode="External"/><Relationship Id="rId13" Type="http://schemas.openxmlformats.org/officeDocument/2006/relationships/hyperlink" Target="https://youtu.be/2vwWds-guTQ?si=imMS7PjRy4F2fvJ7" TargetMode="External"/><Relationship Id="rId109" Type="http://schemas.openxmlformats.org/officeDocument/2006/relationships/hyperlink" Target="mailto:info@haryanawelfare.gov.in" TargetMode="External"/><Relationship Id="rId260" Type="http://schemas.openxmlformats.org/officeDocument/2006/relationships/hyperlink" Target="http://www.online-inspire.gov.in/" TargetMode="External"/><Relationship Id="rId316" Type="http://schemas.openxmlformats.org/officeDocument/2006/relationships/hyperlink" Target="https://www.youtube.com/watch?v=4htU_Q52nXk&amp;ab_channel=StudyAnybody" TargetMode="External"/><Relationship Id="rId523" Type="http://schemas.openxmlformats.org/officeDocument/2006/relationships/hyperlink" Target="https://www.artistsnetwork.com/" TargetMode="External"/><Relationship Id="rId55" Type="http://schemas.openxmlformats.org/officeDocument/2006/relationships/hyperlink" Target="mailto:niraj.satnalika@bnsatnalikafoundation.org" TargetMode="External"/><Relationship Id="rId97" Type="http://schemas.openxmlformats.org/officeDocument/2006/relationships/hyperlink" Target="mailto:scholarships@coalindia.in" TargetMode="External"/><Relationship Id="rId120" Type="http://schemas.openxmlformats.org/officeDocument/2006/relationships/hyperlink" Target="https://www.youtube.com/watch?v=sample-link" TargetMode="External"/><Relationship Id="rId358" Type="http://schemas.openxmlformats.org/officeDocument/2006/relationships/hyperlink" Target="https://www.youtube.com/watch?v=dQw4w9WgXcQ" TargetMode="External"/><Relationship Id="rId565" Type="http://schemas.openxmlformats.org/officeDocument/2006/relationships/hyperlink" Target="https://leverageedu.com/discover/indian-scholarships/yashad-sumedha-scholarship/" TargetMode="External"/><Relationship Id="rId162" Type="http://schemas.openxmlformats.org/officeDocument/2006/relationships/hyperlink" Target="https://www.foundationforexcellence.org/" TargetMode="External"/><Relationship Id="rId218" Type="http://schemas.openxmlformats.org/officeDocument/2006/relationships/hyperlink" Target="https://www.iisc.ac.in/" TargetMode="External"/><Relationship Id="rId425" Type="http://schemas.openxmlformats.org/officeDocument/2006/relationships/hyperlink" Target="https://socialwelfare.delhi.gov.in/" TargetMode="External"/><Relationship Id="rId467" Type="http://schemas.openxmlformats.org/officeDocument/2006/relationships/hyperlink" Target="http://scholarships.gov.in/" TargetMode="External"/><Relationship Id="rId271" Type="http://schemas.openxmlformats.org/officeDocument/2006/relationships/hyperlink" Target="https://youtu.be/AmWItFK4DG4?si=7W9ciRCAOmr7ugI7" TargetMode="External"/><Relationship Id="rId24" Type="http://schemas.openxmlformats.org/officeDocument/2006/relationships/hyperlink" Target="https://youtu.be/iqrL5V7lteg?si=_hdgTDNQzbyugAMK" TargetMode="External"/><Relationship Id="rId66" Type="http://schemas.openxmlformats.org/officeDocument/2006/relationships/hyperlink" Target="https://www.buddy4study.com/" TargetMode="External"/><Relationship Id="rId131" Type="http://schemas.openxmlformats.org/officeDocument/2006/relationships/hyperlink" Target="https://tripurascholarship.in/" TargetMode="External"/><Relationship Id="rId327" Type="http://schemas.openxmlformats.org/officeDocument/2006/relationships/hyperlink" Target="http://www.dcescholarship.kerala.gov.in/" TargetMode="External"/><Relationship Id="rId369" Type="http://schemas.openxmlformats.org/officeDocument/2006/relationships/hyperlink" Target="https://nirmaan.org/" TargetMode="External"/><Relationship Id="rId534" Type="http://schemas.openxmlformats.org/officeDocument/2006/relationships/hyperlink" Target="https://www.youtube.com/watch?v=ZoaTOrVpXW0" TargetMode="External"/><Relationship Id="rId576" Type="http://schemas.openxmlformats.org/officeDocument/2006/relationships/printerSettings" Target="../printerSettings/printerSettings1.bin"/><Relationship Id="rId173" Type="http://schemas.openxmlformats.org/officeDocument/2006/relationships/hyperlink" Target="https://www.gpbirlaedufoundation.com/" TargetMode="External"/><Relationship Id="rId229" Type="http://schemas.openxmlformats.org/officeDocument/2006/relationships/hyperlink" Target="https://youtu.be/nnxcUFniDZg?si=KT29Z4YpnvUZSuGx" TargetMode="External"/><Relationship Id="rId380" Type="http://schemas.openxmlformats.org/officeDocument/2006/relationships/hyperlink" Target="https://www.youtube.com/results?search_query=OIL+Merit+Scholarship+application" TargetMode="External"/><Relationship Id="rId436" Type="http://schemas.openxmlformats.org/officeDocument/2006/relationships/hyperlink" Target="https://www.youtube.com/watch?v=PsJ802oBHwQ" TargetMode="External"/><Relationship Id="rId240" Type="http://schemas.openxmlformats.org/officeDocument/2006/relationships/hyperlink" Target="http://www.shiksha.com/" TargetMode="External"/><Relationship Id="rId478" Type="http://schemas.openxmlformats.org/officeDocument/2006/relationships/hyperlink" Target="https://www.youtube.com/watch?v=qCPkQtnyrfE" TargetMode="External"/><Relationship Id="rId35" Type="http://schemas.openxmlformats.org/officeDocument/2006/relationships/hyperlink" Target="mailto:info@aipmst.org" TargetMode="External"/><Relationship Id="rId77" Type="http://schemas.openxmlformats.org/officeDocument/2006/relationships/hyperlink" Target="https://www.youtube.com/watch?v=sample-link" TargetMode="External"/><Relationship Id="rId100" Type="http://schemas.openxmlformats.org/officeDocument/2006/relationships/hyperlink" Target="mailto:scholarships@colgate.com" TargetMode="External"/><Relationship Id="rId282" Type="http://schemas.openxmlformats.org/officeDocument/2006/relationships/hyperlink" Target="https://www.buddy4study.com/scholarship/loreal-india-for-young-women-in-science-scholarships" TargetMode="External"/><Relationship Id="rId338" Type="http://schemas.openxmlformats.org/officeDocument/2006/relationships/hyperlink" Target="https://www.buddy4study.com/scholarship/national-fellowship-and-scholarship-for-higher-education-of-st-students" TargetMode="External"/><Relationship Id="rId503" Type="http://schemas.openxmlformats.org/officeDocument/2006/relationships/hyperlink" Target="https://www.dcescholarship.kerala.gov.in/" TargetMode="External"/><Relationship Id="rId545" Type="http://schemas.openxmlformats.org/officeDocument/2006/relationships/hyperlink" Target="https://legrandscholarship.co.in/" TargetMode="External"/><Relationship Id="rId8" Type="http://schemas.openxmlformats.org/officeDocument/2006/relationships/hyperlink" Target="https://youtu.be/eF6ek2j5gfE?si=Io8z_lq4ukVnIWua" TargetMode="External"/><Relationship Id="rId142" Type="http://schemas.openxmlformats.org/officeDocument/2006/relationships/hyperlink" Target="mailto:innovationchallenge@ti.com" TargetMode="External"/><Relationship Id="rId184" Type="http://schemas.openxmlformats.org/officeDocument/2006/relationships/hyperlink" Target="mailto:info@humboldt-foundation.de" TargetMode="External"/><Relationship Id="rId391" Type="http://schemas.openxmlformats.org/officeDocument/2006/relationships/hyperlink" Target="https://www.pct-india.org/" TargetMode="External"/><Relationship Id="rId405" Type="http://schemas.openxmlformats.org/officeDocument/2006/relationships/hyperlink" Target="https://www.buddy4study.com/scholarship/post-matric-scholarship-for-students-with-disabilities" TargetMode="External"/><Relationship Id="rId447" Type="http://schemas.openxmlformats.org/officeDocument/2006/relationships/hyperlink" Target="https://www.rgipt.ac.in/" TargetMode="External"/><Relationship Id="rId251" Type="http://schemas.openxmlformats.org/officeDocument/2006/relationships/hyperlink" Target="https://in.linkedin.com/company/collegedekho" TargetMode="External"/><Relationship Id="rId489" Type="http://schemas.openxmlformats.org/officeDocument/2006/relationships/hyperlink" Target="https://www.sitaramjindalfoundation.org/" TargetMode="External"/><Relationship Id="rId46" Type="http://schemas.openxmlformats.org/officeDocument/2006/relationships/hyperlink" Target="https://www.buddy4study.com/scholarship/aoec-talent-test-2018" TargetMode="External"/><Relationship Id="rId293" Type="http://schemas.openxmlformats.org/officeDocument/2006/relationships/hyperlink" Target="http://www.karnataka.gov.in/" TargetMode="External"/><Relationship Id="rId307" Type="http://schemas.openxmlformats.org/officeDocument/2006/relationships/hyperlink" Target="https://youtu.be/SLArsARlXi0?si=Z7kQBknvbHckLuPg" TargetMode="External"/><Relationship Id="rId349" Type="http://schemas.openxmlformats.org/officeDocument/2006/relationships/hyperlink" Target="http://space.nss.org/" TargetMode="External"/><Relationship Id="rId514" Type="http://schemas.openxmlformats.org/officeDocument/2006/relationships/hyperlink" Target="https://www.youtube.com/watch?v=y9erDBNP0FE" TargetMode="External"/><Relationship Id="rId556" Type="http://schemas.openxmlformats.org/officeDocument/2006/relationships/hyperlink" Target="https://www.youtube.com/watch?v=rY_XZKWsTrY" TargetMode="External"/><Relationship Id="rId88" Type="http://schemas.openxmlformats.org/officeDocument/2006/relationships/hyperlink" Target="mailto:scholarships@education.gov.in" TargetMode="External"/><Relationship Id="rId111" Type="http://schemas.openxmlformats.org/officeDocument/2006/relationships/hyperlink" Target="https://youtu.be/0Wcx_XJP-Y8?si=-rzeeZbdio0Mt2g9" TargetMode="External"/><Relationship Id="rId153" Type="http://schemas.openxmlformats.org/officeDocument/2006/relationships/hyperlink" Target="https://youtu.be/O7BPevYWu9w?si=8ktPNt4qrtWsuUpY" TargetMode="External"/><Relationship Id="rId195" Type="http://schemas.openxmlformats.org/officeDocument/2006/relationships/hyperlink" Target="https://youtu.be/Z5ue-WByWOY?si=EBIlZAHI7lDShYZE" TargetMode="External"/><Relationship Id="rId209" Type="http://schemas.openxmlformats.org/officeDocument/2006/relationships/hyperlink" Target="https://youtu.be/DEEqtLeM8aM?si=U7HnbYyG8RfN39ck" TargetMode="External"/><Relationship Id="rId360" Type="http://schemas.openxmlformats.org/officeDocument/2006/relationships/hyperlink" Target="https://www.youtube.com/watch?v=dQw4w9WgXcQ" TargetMode="External"/><Relationship Id="rId416" Type="http://schemas.openxmlformats.org/officeDocument/2006/relationships/hyperlink" Target="https://www.youtube.com/watch?v=UsRBJxOuZWA&amp;ab_channel=FACTTECHSHAH" TargetMode="External"/><Relationship Id="rId220" Type="http://schemas.openxmlformats.org/officeDocument/2006/relationships/hyperlink" Target="http://office.ipciisc.ac.in/" TargetMode="External"/><Relationship Id="rId458" Type="http://schemas.openxmlformats.org/officeDocument/2006/relationships/hyperlink" Target="https://www.youtube.com/watch?v=7fLaSDiJIeg" TargetMode="External"/><Relationship Id="rId15" Type="http://schemas.openxmlformats.org/officeDocument/2006/relationships/hyperlink" Target="https://www.aicte-india.org/schemes/students-development-schemes/PG-Scholarship-Scheme/General-instruction" TargetMode="External"/><Relationship Id="rId57" Type="http://schemas.openxmlformats.org/officeDocument/2006/relationships/hyperlink" Target="https://youtu.be/kWflWIXDkw0?si=aRqLrdffko8Iv1eP" TargetMode="External"/><Relationship Id="rId262" Type="http://schemas.openxmlformats.org/officeDocument/2006/relationships/hyperlink" Target="https://youtu.be/sV53QnlqaeQ?si=0CwEOSI9IdWWc5zc" TargetMode="External"/><Relationship Id="rId318" Type="http://schemas.openxmlformats.org/officeDocument/2006/relationships/hyperlink" Target="https://www.youtube.com/watch?v=YfrLiRma1b4&amp;ab_channel=Apple" TargetMode="External"/><Relationship Id="rId525" Type="http://schemas.openxmlformats.org/officeDocument/2006/relationships/hyperlink" Target="https://www.thehindu.com/theatre-fest/playwright-award/" TargetMode="External"/><Relationship Id="rId567" Type="http://schemas.openxmlformats.org/officeDocument/2006/relationships/hyperlink" Target="https://leverageedu.com/discover/indian-scholarships/yashad-sumedha-scholarship/" TargetMode="External"/><Relationship Id="rId99" Type="http://schemas.openxmlformats.org/officeDocument/2006/relationships/hyperlink" Target="https://youtu.be/ITIGxmV_x-g?si=f8waJkBx8Ln1vUL-" TargetMode="External"/><Relationship Id="rId122" Type="http://schemas.openxmlformats.org/officeDocument/2006/relationships/hyperlink" Target="https://reliancefoundation.org/" TargetMode="External"/><Relationship Id="rId164" Type="http://schemas.openxmlformats.org/officeDocument/2006/relationships/hyperlink" Target="https://youtu.be/TwXk-jjNdxI?si=WeUDrBxLUPtGzP__" TargetMode="External"/><Relationship Id="rId371" Type="http://schemas.openxmlformats.org/officeDocument/2006/relationships/hyperlink" Target="https://niu.edu.in/" TargetMode="External"/><Relationship Id="rId427" Type="http://schemas.openxmlformats.org/officeDocument/2006/relationships/hyperlink" Target="https://socialwelfare.delhi.gov.in/" TargetMode="External"/><Relationship Id="rId469" Type="http://schemas.openxmlformats.org/officeDocument/2006/relationships/hyperlink" Target="http://online.southwales.ac.uk/" TargetMode="External"/><Relationship Id="rId26" Type="http://schemas.openxmlformats.org/officeDocument/2006/relationships/hyperlink" Target="mailto:info@alagappauniversity.ac.in" TargetMode="External"/><Relationship Id="rId231" Type="http://schemas.openxmlformats.org/officeDocument/2006/relationships/hyperlink" Target="https://youtu.be/oyo3FVzlNQg?si=vYKEKVGOu4w1vnOL" TargetMode="External"/><Relationship Id="rId273" Type="http://schemas.openxmlformats.org/officeDocument/2006/relationships/hyperlink" Target="https://youtu.be/mroKEKr67UI?si=EO7pDxH7MdFZUzC5" TargetMode="External"/><Relationship Id="rId329" Type="http://schemas.openxmlformats.org/officeDocument/2006/relationships/hyperlink" Target="http://www.dcescholarship.kerala.gov.in/" TargetMode="External"/><Relationship Id="rId480" Type="http://schemas.openxmlformats.org/officeDocument/2006/relationships/hyperlink" Target="https://youtu.be/sample" TargetMode="External"/><Relationship Id="rId536" Type="http://schemas.openxmlformats.org/officeDocument/2006/relationships/hyperlink" Target="https://www.youtube.com/watch?v=iy3n2ZZWre8" TargetMode="External"/><Relationship Id="rId68" Type="http://schemas.openxmlformats.org/officeDocument/2006/relationships/hyperlink" Target="mailto:info@buddy4study.com" TargetMode="External"/><Relationship Id="rId133" Type="http://schemas.openxmlformats.org/officeDocument/2006/relationships/hyperlink" Target="mailto:info@tripurascholarship.in" TargetMode="External"/><Relationship Id="rId175" Type="http://schemas.openxmlformats.org/officeDocument/2006/relationships/hyperlink" Target="mailto:office@gpbirlaedufoundation.com" TargetMode="External"/><Relationship Id="rId340" Type="http://schemas.openxmlformats.org/officeDocument/2006/relationships/hyperlink" Target="http://www.mhrd.gov.in/" TargetMode="External"/><Relationship Id="rId200" Type="http://schemas.openxmlformats.org/officeDocument/2006/relationships/hyperlink" Target="https://www.youtube.com/channel/UCbL5k4FnxnUTWg8amIl3cAw/playlists" TargetMode="External"/><Relationship Id="rId382" Type="http://schemas.openxmlformats.org/officeDocument/2006/relationships/hyperlink" Target="https://www.youtube.com/watch?v=abc123" TargetMode="External"/><Relationship Id="rId438" Type="http://schemas.openxmlformats.org/officeDocument/2006/relationships/hyperlink" Target="https://www.youtube.com/watch?v=2PlgyAUgGgg" TargetMode="External"/><Relationship Id="rId242" Type="http://schemas.openxmlformats.org/officeDocument/2006/relationships/hyperlink" Target="https://youtu.be/oXHXiB-NeoU?si=fxe2h2BFhSqLJjgh" TargetMode="External"/><Relationship Id="rId284" Type="http://schemas.openxmlformats.org/officeDocument/2006/relationships/hyperlink" Target="https://youtu.be/k-vDuKe7yyQ?si=y-DVfp9IgzJtJ1Y9" TargetMode="External"/><Relationship Id="rId491" Type="http://schemas.openxmlformats.org/officeDocument/2006/relationships/hyperlink" Target="https://sofworld.org/" TargetMode="External"/><Relationship Id="rId505" Type="http://schemas.openxmlformats.org/officeDocument/2006/relationships/hyperlink" Target="https://www.strath.ac.uk/business/" TargetMode="External"/><Relationship Id="rId37" Type="http://schemas.openxmlformats.org/officeDocument/2006/relationships/hyperlink" Target="https://youtu.be/YGkdxSz4BOk?si=VPi_CU6BXHoYH0RC" TargetMode="External"/><Relationship Id="rId79" Type="http://schemas.openxmlformats.org/officeDocument/2006/relationships/hyperlink" Target="mailto:info@britishcouncil.org" TargetMode="External"/><Relationship Id="rId102" Type="http://schemas.openxmlformats.org/officeDocument/2006/relationships/hyperlink" Target="https://www.youtube.com/watch?v=sample-link" TargetMode="External"/><Relationship Id="rId144" Type="http://schemas.openxmlformats.org/officeDocument/2006/relationships/hyperlink" Target="https://youtu.be/st_AEMVWwAE?si=gebZ9icm-8ufEFv7" TargetMode="External"/><Relationship Id="rId547" Type="http://schemas.openxmlformats.org/officeDocument/2006/relationships/hyperlink" Target="https://www.unicaf.org/" TargetMode="External"/><Relationship Id="rId90" Type="http://schemas.openxmlformats.org/officeDocument/2006/relationships/hyperlink" Target="https://youtu.be/HM22WDhz-xI?si=4ADquHpvCXTrzPZs" TargetMode="External"/><Relationship Id="rId186" Type="http://schemas.openxmlformats.org/officeDocument/2006/relationships/hyperlink" Target="https://youtu.be/PtOsmq2uIVk?si=24bhJ6B7C2of2yna" TargetMode="External"/><Relationship Id="rId351" Type="http://schemas.openxmlformats.org/officeDocument/2006/relationships/hyperlink" Target="https://www.nest.net.in/" TargetMode="External"/><Relationship Id="rId393" Type="http://schemas.openxmlformats.org/officeDocument/2006/relationships/hyperlink" Target="https://scholarship.up.gov.in/" TargetMode="External"/><Relationship Id="rId407" Type="http://schemas.openxmlformats.org/officeDocument/2006/relationships/hyperlink" Target="https://www.youtube.com/watch?v=JUbRYUtt9vg&amp;ab_channel=VimIndiaOfficial" TargetMode="External"/><Relationship Id="rId449" Type="http://schemas.openxmlformats.org/officeDocument/2006/relationships/hyperlink" Target="http://www.iitkgp.ac.in/" TargetMode="External"/><Relationship Id="rId211" Type="http://schemas.openxmlformats.org/officeDocument/2006/relationships/hyperlink" Target="https://careerguidance.unilearn.org.in/scholarship/hindi-scholarship-hs/" TargetMode="External"/><Relationship Id="rId253" Type="http://schemas.openxmlformats.org/officeDocument/2006/relationships/hyperlink" Target="https://www.indousfellowship.org/" TargetMode="External"/><Relationship Id="rId295" Type="http://schemas.openxmlformats.org/officeDocument/2006/relationships/hyperlink" Target="https://www.llmindia.com/" TargetMode="External"/><Relationship Id="rId309" Type="http://schemas.openxmlformats.org/officeDocument/2006/relationships/hyperlink" Target="https://youtu.be/4htU_Q52nXk?si=yvf_3moUXIGKGeCp" TargetMode="External"/><Relationship Id="rId460" Type="http://schemas.openxmlformats.org/officeDocument/2006/relationships/hyperlink" Target="https://www.youtube.com/watch?v=mWKFj90IRdU" TargetMode="External"/><Relationship Id="rId516" Type="http://schemas.openxmlformats.org/officeDocument/2006/relationships/hyperlink" Target="https://youtu.be/sample" TargetMode="External"/><Relationship Id="rId48" Type="http://schemas.openxmlformats.org/officeDocument/2006/relationships/hyperlink" Target="https://www.buddy4study.com/scholarship/central-sector-scheme-of-scholarship-for-college-and-university-students" TargetMode="External"/><Relationship Id="rId113" Type="http://schemas.openxmlformats.org/officeDocument/2006/relationships/hyperlink" Target="https://www.indiaculture.gov.in/" TargetMode="External"/><Relationship Id="rId320" Type="http://schemas.openxmlformats.org/officeDocument/2006/relationships/hyperlink" Target="https://www.youtube.com/user/imaginecup" TargetMode="External"/><Relationship Id="rId558" Type="http://schemas.openxmlformats.org/officeDocument/2006/relationships/hyperlink" Target="https://www.youtube.com/watch?v=GT8VlN_Vmpw" TargetMode="External"/><Relationship Id="rId155" Type="http://schemas.openxmlformats.org/officeDocument/2006/relationships/hyperlink" Target="https://www.india.gov.in/" TargetMode="External"/><Relationship Id="rId197" Type="http://schemas.openxmlformats.org/officeDocument/2006/relationships/hyperlink" Target="https://youtu.be/Z31B7Q-q2GM?si=4Ga4unraploPE0Iw" TargetMode="External"/><Relationship Id="rId362" Type="http://schemas.openxmlformats.org/officeDocument/2006/relationships/hyperlink" Target="https://www.youtube.com/watch?v=dQw4w9WgXcQ" TargetMode="External"/><Relationship Id="rId418" Type="http://schemas.openxmlformats.org/officeDocument/2006/relationships/hyperlink" Target="https://www.youtube.com/watch?v=tJFo_ebdU1A&amp;ab_channel=AKiBiNFO" TargetMode="External"/><Relationship Id="rId222" Type="http://schemas.openxmlformats.org/officeDocument/2006/relationships/hyperlink" Target="https://youtu.be/HbQKM1DDhIU?si=KXw58eIFyMOZAP25" TargetMode="External"/><Relationship Id="rId264" Type="http://schemas.openxmlformats.org/officeDocument/2006/relationships/hyperlink" Target="https://youtu.be/UYyrXGdhok0?si=DNJ9LTTw8msiByQm" TargetMode="External"/><Relationship Id="rId471" Type="http://schemas.openxmlformats.org/officeDocument/2006/relationships/hyperlink" Target="http://livingoceansfoundation.org/" TargetMode="External"/><Relationship Id="rId17" Type="http://schemas.openxmlformats.org/officeDocument/2006/relationships/hyperlink" Target="https://www.aicte-india.org/content/national-doctoral-fellowship-ndf" TargetMode="External"/><Relationship Id="rId59" Type="http://schemas.openxmlformats.org/officeDocument/2006/relationships/hyperlink" Target="http://bighelp.org/bhp/site/scholarships" TargetMode="External"/><Relationship Id="rId124" Type="http://schemas.openxmlformats.org/officeDocument/2006/relationships/hyperlink" Target="mailto:scholarships@reliancefoundation.org" TargetMode="External"/><Relationship Id="rId527" Type="http://schemas.openxmlformats.org/officeDocument/2006/relationships/hyperlink" Target="https://www.thehindu.com/theatre-fest/playwright-award/" TargetMode="External"/><Relationship Id="rId569" Type="http://schemas.openxmlformats.org/officeDocument/2006/relationships/hyperlink" Target="https://www.yesbank.in/banking-initiatives/responsible-banking/positive-impact/natural-capital/nca" TargetMode="External"/><Relationship Id="rId70" Type="http://schemas.openxmlformats.org/officeDocument/2006/relationships/hyperlink" Target="https://www.youtube.com/watch?v=sample" TargetMode="External"/><Relationship Id="rId166" Type="http://schemas.openxmlformats.org/officeDocument/2006/relationships/hyperlink" Target="https://youtu.be/TwXk-jjNdxI?si=WeUDrBxLUPtGzP__" TargetMode="External"/><Relationship Id="rId331" Type="http://schemas.openxmlformats.org/officeDocument/2006/relationships/hyperlink" Target="https://scholarship.nagaland.gov.in/" TargetMode="External"/><Relationship Id="rId373" Type="http://schemas.openxmlformats.org/officeDocument/2006/relationships/hyperlink" Target="https://www.northsouth.org/public" TargetMode="External"/><Relationship Id="rId429" Type="http://schemas.openxmlformats.org/officeDocument/2006/relationships/hyperlink" Target="http://mpsc.mp.nic.in/scholarships" TargetMode="External"/><Relationship Id="rId1" Type="http://schemas.openxmlformats.org/officeDocument/2006/relationships/hyperlink" Target="https://www.academia.si/en" TargetMode="External"/><Relationship Id="rId233" Type="http://schemas.openxmlformats.org/officeDocument/2006/relationships/hyperlink" Target="https://www.linkedin.com/company/1484122?goback=%2Efcs_GLHD_braingainmag_false_*2_*2_*2_*2_*2_*2_*2_*2_*2_*2_*2_*2&amp;trk=ncsrch_hits" TargetMode="External"/><Relationship Id="rId440" Type="http://schemas.openxmlformats.org/officeDocument/2006/relationships/hyperlink" Target="https://www.youtube.com/shorts/zba_dMgeT9Q" TargetMode="External"/><Relationship Id="rId28" Type="http://schemas.openxmlformats.org/officeDocument/2006/relationships/hyperlink" Target="https://youtu.be/V6SOI54znlk?si=-eGmA_RnpQYe7ps_" TargetMode="External"/><Relationship Id="rId275" Type="http://schemas.openxmlformats.org/officeDocument/2006/relationships/hyperlink" Target="https://youtu.be/Mud1AAj7fSk?si=PsR3JNG8gkP4sa8y" TargetMode="External"/><Relationship Id="rId300" Type="http://schemas.openxmlformats.org/officeDocument/2006/relationships/hyperlink" Target="https://www.universitiesinindia.com/" TargetMode="External"/><Relationship Id="rId482" Type="http://schemas.openxmlformats.org/officeDocument/2006/relationships/hyperlink" Target="https://youtu.be/sample" TargetMode="External"/><Relationship Id="rId538" Type="http://schemas.openxmlformats.org/officeDocument/2006/relationships/hyperlink" Target="https://www.youtube.com/watch?v=TfR8W7oXIks" TargetMode="External"/><Relationship Id="rId81" Type="http://schemas.openxmlformats.org/officeDocument/2006/relationships/hyperlink" Target="https://nbsachiver.com/bihar-talent-search-exam-2022-2023/" TargetMode="External"/><Relationship Id="rId135" Type="http://schemas.openxmlformats.org/officeDocument/2006/relationships/hyperlink" Target="https://www.youtube.com/watch?v=sample-link" TargetMode="External"/><Relationship Id="rId177" Type="http://schemas.openxmlformats.org/officeDocument/2006/relationships/hyperlink" Target="https://youtu.be/-udoUnXXh3w?si=PbVobLXMepft158B" TargetMode="External"/><Relationship Id="rId342" Type="http://schemas.openxmlformats.org/officeDocument/2006/relationships/hyperlink" Target="https://www.buddy4study.com/article/nmms" TargetMode="External"/><Relationship Id="rId384" Type="http://schemas.openxmlformats.org/officeDocument/2006/relationships/hyperlink" Target="https://www.youtube.com/results?search_query=ongc+scholarship+to+meritorious+SC+ST+students" TargetMode="External"/><Relationship Id="rId202" Type="http://schemas.openxmlformats.org/officeDocument/2006/relationships/hyperlink" Target="https://youtu.be/kCg-bdGXnts?si=g6EjQucBadqp1KGd" TargetMode="External"/><Relationship Id="rId244" Type="http://schemas.openxmlformats.org/officeDocument/2006/relationships/hyperlink" Target="https://youtu.be/hMoqelbxPeE?si=-RtftALWpyAJdCze" TargetMode="External"/><Relationship Id="rId39" Type="http://schemas.openxmlformats.org/officeDocument/2006/relationships/hyperlink" Target="https://www.amity.edu.sg/" TargetMode="External"/><Relationship Id="rId286" Type="http://schemas.openxmlformats.org/officeDocument/2006/relationships/hyperlink" Target="https://youtu.be/EWMWiAn8Yac?si=z1jDeS7aDOCsvXEt" TargetMode="External"/><Relationship Id="rId451" Type="http://schemas.openxmlformats.org/officeDocument/2006/relationships/hyperlink" Target="https://www.academy.rwth-aachen.de/en/" TargetMode="External"/><Relationship Id="rId493" Type="http://schemas.openxmlformats.org/officeDocument/2006/relationships/hyperlink" Target="https://www.worldphoto.org/" TargetMode="External"/><Relationship Id="rId507" Type="http://schemas.openxmlformats.org/officeDocument/2006/relationships/hyperlink" Target="https://www.dcescholarship.kerala.gov.in/" TargetMode="External"/><Relationship Id="rId549" Type="http://schemas.openxmlformats.org/officeDocument/2006/relationships/hyperlink" Target="https://www.strath.ac.uk/studywithus/scholarships/?" TargetMode="External"/><Relationship Id="rId50" Type="http://schemas.openxmlformats.org/officeDocument/2006/relationships/hyperlink" Target="https://www.nirankari.org/news/bgs_scholarshipscheme202425/" TargetMode="External"/><Relationship Id="rId104" Type="http://schemas.openxmlformats.org/officeDocument/2006/relationships/hyperlink" Target="https://www.comixcompetition.org/" TargetMode="External"/><Relationship Id="rId146" Type="http://schemas.openxmlformats.org/officeDocument/2006/relationships/hyperlink" Target="https://scholarshiplearn.com/energy-and-mobility-for-the-future-scholarship/" TargetMode="External"/><Relationship Id="rId188" Type="http://schemas.openxmlformats.org/officeDocument/2006/relationships/hyperlink" Target="https://unfccc.int/topics/education-and-outreach/events--meetings/global-youth-video-competition" TargetMode="External"/><Relationship Id="rId311" Type="http://schemas.openxmlformats.org/officeDocument/2006/relationships/hyperlink" Target="http://program.com/" TargetMode="External"/><Relationship Id="rId353" Type="http://schemas.openxmlformats.org/officeDocument/2006/relationships/hyperlink" Target="https://nbhm.dae.gov.in/" TargetMode="External"/><Relationship Id="rId395" Type="http://schemas.openxmlformats.org/officeDocument/2006/relationships/hyperlink" Target="https://scholarship.up.gov.in/" TargetMode="External"/><Relationship Id="rId409" Type="http://schemas.openxmlformats.org/officeDocument/2006/relationships/hyperlink" Target="https://www.youtube.com/results?search_query=Post+Matric+Scholarship+Scheme+for+SC+and+OBC%2C+Chandigarh" TargetMode="External"/><Relationship Id="rId560" Type="http://schemas.openxmlformats.org/officeDocument/2006/relationships/hyperlink" Target="https://www.youtube.com/watch?v=OE3uqFg3WtQ" TargetMode="External"/><Relationship Id="rId92" Type="http://schemas.openxmlformats.org/officeDocument/2006/relationships/hyperlink" Target="https://www.cuchd.in/scholarship/" TargetMode="External"/><Relationship Id="rId213" Type="http://schemas.openxmlformats.org/officeDocument/2006/relationships/hyperlink" Target="https://youtu.be/Bpi6UVZw6I0?si=adE4y5dusv5kMeW6" TargetMode="External"/><Relationship Id="rId420" Type="http://schemas.openxmlformats.org/officeDocument/2006/relationships/hyperlink" Target="https://www.youtube.com/watch?v=jy6DAk7mCdk&amp;ab_channel=McMasterUniversity" TargetMode="External"/><Relationship Id="rId255" Type="http://schemas.openxmlformats.org/officeDocument/2006/relationships/hyperlink" Target="https://www.linkedin.com/company/iusstf/" TargetMode="External"/><Relationship Id="rId297" Type="http://schemas.openxmlformats.org/officeDocument/2006/relationships/hyperlink" Target="https://cyberdost.gov.in/" TargetMode="External"/><Relationship Id="rId462" Type="http://schemas.openxmlformats.org/officeDocument/2006/relationships/hyperlink" Target="https://www.youtube.com/watch?v=V9nwnuyvCEQ" TargetMode="External"/><Relationship Id="rId518" Type="http://schemas.openxmlformats.org/officeDocument/2006/relationships/hyperlink" Target="https://youtu.be/sample" TargetMode="External"/><Relationship Id="rId115" Type="http://schemas.openxmlformats.org/officeDocument/2006/relationships/hyperlink" Target="mailto:info@indiaculture.gov.in" TargetMode="External"/><Relationship Id="rId157" Type="http://schemas.openxmlformats.org/officeDocument/2006/relationships/hyperlink" Target="mailto:info@india.gov.in" TargetMode="External"/><Relationship Id="rId322" Type="http://schemas.openxmlformats.org/officeDocument/2006/relationships/hyperlink" Target="https://www.youtube.com/certiport" TargetMode="External"/><Relationship Id="rId364" Type="http://schemas.openxmlformats.org/officeDocument/2006/relationships/hyperlink" Target="https://www.youtube.com/watch?v=dQw4w9WgXcQ" TargetMode="External"/><Relationship Id="rId61" Type="http://schemas.openxmlformats.org/officeDocument/2006/relationships/hyperlink" Target="mailto:scholarships@bighelp.org" TargetMode="External"/><Relationship Id="rId199" Type="http://schemas.openxmlformats.org/officeDocument/2006/relationships/hyperlink" Target="https://youtu.be/qriW9iAm7V4?si=JzkpYCeusEVDsENM" TargetMode="External"/><Relationship Id="rId571" Type="http://schemas.openxmlformats.org/officeDocument/2006/relationships/hyperlink" Target="https://youtu.be/LWCegHFKFKY?si=DA38MIcHp5gANLdz" TargetMode="External"/><Relationship Id="rId19" Type="http://schemas.openxmlformats.org/officeDocument/2006/relationships/hyperlink" Target="mailto:info@aicte-india.org" TargetMode="External"/><Relationship Id="rId224" Type="http://schemas.openxmlformats.org/officeDocument/2006/relationships/hyperlink" Target="https://www.iitg.ac.in/" TargetMode="External"/><Relationship Id="rId266" Type="http://schemas.openxmlformats.org/officeDocument/2006/relationships/hyperlink" Target="https://youtu.be/rodsNTjR0mA?si=rNeY80MdFPN-VkTo" TargetMode="External"/><Relationship Id="rId431" Type="http://schemas.openxmlformats.org/officeDocument/2006/relationships/hyperlink" Target="https://scholarship.odisha.gov.in/website/home" TargetMode="External"/><Relationship Id="rId473" Type="http://schemas.openxmlformats.org/officeDocument/2006/relationships/hyperlink" Target="http://childrensbooktrust.com/" TargetMode="External"/><Relationship Id="rId529" Type="http://schemas.openxmlformats.org/officeDocument/2006/relationships/hyperlink" Target="https://totofundsthearts.org/awards/music" TargetMode="External"/><Relationship Id="rId30" Type="http://schemas.openxmlformats.org/officeDocument/2006/relationships/hyperlink" Target="https://www.aimstalentexamination.com/" TargetMode="External"/><Relationship Id="rId126" Type="http://schemas.openxmlformats.org/officeDocument/2006/relationships/hyperlink" Target="https://youtu.be/HGqvSpmUh4A?si=v11VpZjrOyrrfnpF" TargetMode="External"/><Relationship Id="rId168" Type="http://schemas.openxmlformats.org/officeDocument/2006/relationships/hyperlink" Target="https://youtu.be/TwXk-jjNdxI?si=WeUDrBxLUPtGzP__" TargetMode="External"/><Relationship Id="rId333" Type="http://schemas.openxmlformats.org/officeDocument/2006/relationships/hyperlink" Target="https://nsfoundation.co.in/education/scholarships/narotam-sekhsaria-undergraduate-scholarship-programme/" TargetMode="External"/><Relationship Id="rId540" Type="http://schemas.openxmlformats.org/officeDocument/2006/relationships/hyperlink" Target="https://www.youtube.com/watch?v=Piv7Af2gAQM" TargetMode="External"/><Relationship Id="rId72" Type="http://schemas.openxmlformats.org/officeDocument/2006/relationships/hyperlink" Target="https://sjsa.maharashtra.gov.in/en/schemes-page?scheme_nature=33&amp;Submit=Submit&amp;page=2" TargetMode="External"/><Relationship Id="rId375" Type="http://schemas.openxmlformats.org/officeDocument/2006/relationships/hyperlink" Target="https://www.buddy4study.com/" TargetMode="External"/><Relationship Id="rId3" Type="http://schemas.openxmlformats.org/officeDocument/2006/relationships/hyperlink" Target="mailto:info@vidhyaa.in" TargetMode="External"/><Relationship Id="rId235" Type="http://schemas.openxmlformats.org/officeDocument/2006/relationships/hyperlink" Target="https://youtu.be/9zohLjtOkD4?si=Nh0-k0uatoNxgJm6" TargetMode="External"/><Relationship Id="rId277" Type="http://schemas.openxmlformats.org/officeDocument/2006/relationships/hyperlink" Target="https://youtu.be/xJgK1MugbUY?si=dUWY8YTAJsbnUz-f" TargetMode="External"/><Relationship Id="rId400" Type="http://schemas.openxmlformats.org/officeDocument/2006/relationships/hyperlink" Target="https://www.youtube.com/results?search_query=Post+Matric+Scholarship+Uttar+Pradesh" TargetMode="External"/><Relationship Id="rId442" Type="http://schemas.openxmlformats.org/officeDocument/2006/relationships/hyperlink" Target="https://www.youtube.com/watch?v=5RsWjCJ9D9w" TargetMode="External"/><Relationship Id="rId484" Type="http://schemas.openxmlformats.org/officeDocument/2006/relationships/hyperlink" Target="https://www.youtube.com/watch?v=1c4ABvZ-mOI" TargetMode="External"/><Relationship Id="rId137" Type="http://schemas.openxmlformats.org/officeDocument/2006/relationships/hyperlink" Target="https://drreddysfoundation.org/" TargetMode="External"/><Relationship Id="rId302" Type="http://schemas.openxmlformats.org/officeDocument/2006/relationships/hyperlink" Target="https://www.manimannfellowship.org/" TargetMode="External"/><Relationship Id="rId344" Type="http://schemas.openxmlformats.org/officeDocument/2006/relationships/hyperlink" Target="https://www.youtube.com/watch?v=dQw4w9WgXcQ" TargetMode="External"/><Relationship Id="rId41" Type="http://schemas.openxmlformats.org/officeDocument/2006/relationships/hyperlink" Target="https://www.amrita.edu/admissions/btech/" TargetMode="External"/><Relationship Id="rId83" Type="http://schemas.openxmlformats.org/officeDocument/2006/relationships/hyperlink" Target="https://www.oneyoungworld.com/carole-stone-foundation-scholarship-2019" TargetMode="External"/><Relationship Id="rId179" Type="http://schemas.openxmlformats.org/officeDocument/2006/relationships/hyperlink" Target="https://www.gemseducation.com/en/" TargetMode="External"/><Relationship Id="rId386" Type="http://schemas.openxmlformats.org/officeDocument/2006/relationships/hyperlink" Target="https://www.youtube.com/watch?v=YXxFtRGOy-8" TargetMode="External"/><Relationship Id="rId551" Type="http://schemas.openxmlformats.org/officeDocument/2006/relationships/hyperlink" Target="https://www.strath.ac.uk/studywithus/scholarships/?" TargetMode="External"/><Relationship Id="rId190" Type="http://schemas.openxmlformats.org/officeDocument/2006/relationships/hyperlink" Target="mailto:info@globalyouthvideocompetition.org" TargetMode="External"/><Relationship Id="rId204" Type="http://schemas.openxmlformats.org/officeDocument/2006/relationships/hyperlink" Target="https://youtu.be/MMGy0NzPf20?si=YYBut-zfbyl7b7Bs" TargetMode="External"/><Relationship Id="rId246" Type="http://schemas.openxmlformats.org/officeDocument/2006/relationships/hyperlink" Target="https://youtu.be/cjm7wum7_9g?si=TYfH_0FDkrLofleY" TargetMode="External"/><Relationship Id="rId288" Type="http://schemas.openxmlformats.org/officeDocument/2006/relationships/hyperlink" Target="https://youtu.be/LzlQviIMERE?si=U2icZSvMP4cKNYE3" TargetMode="External"/><Relationship Id="rId411" Type="http://schemas.openxmlformats.org/officeDocument/2006/relationships/hyperlink" Target="https://scholarships.gov.in/" TargetMode="External"/><Relationship Id="rId453" Type="http://schemas.openxmlformats.org/officeDocument/2006/relationships/hyperlink" Target="https://scholars.olympiadsuccess.com/" TargetMode="External"/><Relationship Id="rId509" Type="http://schemas.openxmlformats.org/officeDocument/2006/relationships/hyperlink" Target="https://www.swamidayanand.org/" TargetMode="External"/><Relationship Id="rId106" Type="http://schemas.openxmlformats.org/officeDocument/2006/relationships/hyperlink" Target="mailto:info@comixcompetition.org" TargetMode="External"/><Relationship Id="rId313" Type="http://schemas.openxmlformats.org/officeDocument/2006/relationships/hyperlink" Target="https://scholarships.gov.in/" TargetMode="External"/><Relationship Id="rId495" Type="http://schemas.openxmlformats.org/officeDocument/2006/relationships/hyperlink" Target="https://www.worldphoto.org/" TargetMode="External"/><Relationship Id="rId10" Type="http://schemas.openxmlformats.org/officeDocument/2006/relationships/hyperlink" Target="https://www.maharashtra.gov.in/" TargetMode="External"/><Relationship Id="rId52" Type="http://schemas.openxmlformats.org/officeDocument/2006/relationships/hyperlink" Target="mailto:feedback@nirankari.org" TargetMode="External"/><Relationship Id="rId94" Type="http://schemas.openxmlformats.org/officeDocument/2006/relationships/hyperlink" Target="mailto:admissions@cumail.in" TargetMode="External"/><Relationship Id="rId148" Type="http://schemas.openxmlformats.org/officeDocument/2006/relationships/hyperlink" Target="mailto:info@energyandmobility.com" TargetMode="External"/><Relationship Id="rId355" Type="http://schemas.openxmlformats.org/officeDocument/2006/relationships/hyperlink" Target="https://nbhm.dae.gov.in/" TargetMode="External"/><Relationship Id="rId397" Type="http://schemas.openxmlformats.org/officeDocument/2006/relationships/hyperlink" Target="https://scholarship.up.gov.in/" TargetMode="External"/><Relationship Id="rId520" Type="http://schemas.openxmlformats.org/officeDocument/2006/relationships/hyperlink" Target="https://www.youtube.com/watch?v=Lox-5sLpJVY" TargetMode="External"/><Relationship Id="rId562" Type="http://schemas.openxmlformats.org/officeDocument/2006/relationships/hyperlink" Target="https://youtu.be/Vg6xdC18ELU?si=VrgYl6c333xaY4YM" TargetMode="External"/><Relationship Id="rId215" Type="http://schemas.openxmlformats.org/officeDocument/2006/relationships/hyperlink" Target="https://www.linkedin.com/company/islamic-development-bank/" TargetMode="External"/><Relationship Id="rId257" Type="http://schemas.openxmlformats.org/officeDocument/2006/relationships/hyperlink" Target="https://youtu.be/x852i89mWF8?si=bKV2fbUKomGcVk73" TargetMode="External"/><Relationship Id="rId422" Type="http://schemas.openxmlformats.org/officeDocument/2006/relationships/hyperlink" Target="https://he.uk.gov.in/dpages/scholarship-portal" TargetMode="External"/><Relationship Id="rId464" Type="http://schemas.openxmlformats.org/officeDocument/2006/relationships/hyperlink" Target="https://www.youtube.com/watch?v=CU5ycPwXBHM" TargetMode="External"/><Relationship Id="rId299" Type="http://schemas.openxmlformats.org/officeDocument/2006/relationships/hyperlink" Target="https://youtu.be/lXCVWAtSHtQ?si=e56hMJZpznSXHnWO" TargetMode="External"/><Relationship Id="rId63" Type="http://schemas.openxmlformats.org/officeDocument/2006/relationships/hyperlink" Target="https://youtu.be/DYSKtj4pJxU?si=JzGBHeiIBUzUQmYb" TargetMode="External"/><Relationship Id="rId159" Type="http://schemas.openxmlformats.org/officeDocument/2006/relationships/hyperlink" Target="https://youtu.be/TwXk-jjNdxI?si=WeUDrBxLUPtGzP__" TargetMode="External"/><Relationship Id="rId366" Type="http://schemas.openxmlformats.org/officeDocument/2006/relationships/hyperlink" Target="https://www.youtube.com/watch?v=dQw4w9WgXcQ" TargetMode="External"/><Relationship Id="rId573" Type="http://schemas.openxmlformats.org/officeDocument/2006/relationships/hyperlink" Target="https://mahadbt.maharashtra.gov.in/Login/Login" TargetMode="External"/><Relationship Id="rId226" Type="http://schemas.openxmlformats.org/officeDocument/2006/relationships/hyperlink" Target="https://login.microsoftonline.com/" TargetMode="External"/><Relationship Id="rId433" Type="http://schemas.openxmlformats.org/officeDocument/2006/relationships/hyperlink" Target="https://www.aicte-india.org/bureaus/jk" TargetMode="External"/><Relationship Id="rId74" Type="http://schemas.openxmlformats.org/officeDocument/2006/relationships/hyperlink" Target="mailto:bookbank@sjsa.maharashtra.gov.in" TargetMode="External"/><Relationship Id="rId377" Type="http://schemas.openxmlformats.org/officeDocument/2006/relationships/hyperlink" Target="https://www.cumminsindia.com/" TargetMode="External"/><Relationship Id="rId500" Type="http://schemas.openxmlformats.org/officeDocument/2006/relationships/hyperlink" Target="https://www.youtube.com/watch?v=dElNTKEa61s" TargetMode="External"/><Relationship Id="rId5" Type="http://schemas.openxmlformats.org/officeDocument/2006/relationships/hyperlink" Target="https://youtu.be/eF6ek2j5gfE?si=Io8z_lq4ukVnIWua" TargetMode="External"/><Relationship Id="rId237" Type="http://schemas.openxmlformats.org/officeDocument/2006/relationships/hyperlink" Target="https://www.youtube.com/mygovindia" TargetMode="External"/><Relationship Id="rId444" Type="http://schemas.openxmlformats.org/officeDocument/2006/relationships/hyperlink" Target="https://www.youtube.com/watch?v=WLi-sBe7My0" TargetMode="External"/><Relationship Id="rId290" Type="http://schemas.openxmlformats.org/officeDocument/2006/relationships/hyperlink" Target="https://youtu.be/Wteew0Q7zRE?si=sJZ2x0xQOt7FMTje" TargetMode="External"/><Relationship Id="rId304" Type="http://schemas.openxmlformats.org/officeDocument/2006/relationships/hyperlink" Target="https://www.marubeni.com/" TargetMode="External"/><Relationship Id="rId388" Type="http://schemas.openxmlformats.org/officeDocument/2006/relationships/hyperlink" Target="https://www.youtube.com/watch?v=hV59XGxZJxs" TargetMode="External"/><Relationship Id="rId511" Type="http://schemas.openxmlformats.org/officeDocument/2006/relationships/hyperlink" Target="https://svmcm.wbhed.gov.in/" TargetMode="External"/><Relationship Id="rId85" Type="http://schemas.openxmlformats.org/officeDocument/2006/relationships/hyperlink" Target="mailto:info@carolestonefoundation.org" TargetMode="External"/><Relationship Id="rId150" Type="http://schemas.openxmlformats.org/officeDocument/2006/relationships/hyperlink" Target="https://youtu.be/bjR3B1lQA9w?si=93OGyNtDw4Qap6Ng" TargetMode="External"/><Relationship Id="rId248" Type="http://schemas.openxmlformats.org/officeDocument/2006/relationships/hyperlink" Target="https://youtu.be/-Q5JBQ61Rbk?si=0QbpWfTpNbL74RrM" TargetMode="External"/><Relationship Id="rId455" Type="http://schemas.openxmlformats.org/officeDocument/2006/relationships/hyperlink" Target="https://iusstf.org/" TargetMode="External"/><Relationship Id="rId12" Type="http://schemas.openxmlformats.org/officeDocument/2006/relationships/hyperlink" Target="https://www.aicte-india.org/schemes/students-development-schemes/PG-Scholarship-Scheme/General-instruction" TargetMode="External"/><Relationship Id="rId108" Type="http://schemas.openxmlformats.org/officeDocument/2006/relationships/hyperlink" Target="https://youtu.be/oUvu_xND9lo?si=6_8urWIgj9j59zlk" TargetMode="External"/><Relationship Id="rId315" Type="http://schemas.openxmlformats.org/officeDocument/2006/relationships/hyperlink" Target="https://scstwelfare.delhi.gov.in/" TargetMode="External"/><Relationship Id="rId522" Type="http://schemas.openxmlformats.org/officeDocument/2006/relationships/hyperlink" Target="https://www.youtube.com/watch?v=bu2bC-esrd0" TargetMode="External"/><Relationship Id="rId96" Type="http://schemas.openxmlformats.org/officeDocument/2006/relationships/hyperlink" Target="https://youtu.be/6K0-IqqgFD4?si=LmKt5CGGNV4xNx1Q" TargetMode="External"/><Relationship Id="rId161" Type="http://schemas.openxmlformats.org/officeDocument/2006/relationships/hyperlink" Target="https://www.foundationforexcellence.org/" TargetMode="External"/><Relationship Id="rId399" Type="http://schemas.openxmlformats.org/officeDocument/2006/relationships/hyperlink" Target="http://socialwelfareup.in/" TargetMode="External"/><Relationship Id="rId259" Type="http://schemas.openxmlformats.org/officeDocument/2006/relationships/hyperlink" Target="https://youtu.be/ISgIuFpdzPk?si=xu7drfABiDG-aR7e" TargetMode="External"/><Relationship Id="rId466" Type="http://schemas.openxmlformats.org/officeDocument/2006/relationships/hyperlink" Target="https://www.youtube.com/watch?v=4Fk023yCr5Y" TargetMode="External"/><Relationship Id="rId23" Type="http://schemas.openxmlformats.org/officeDocument/2006/relationships/hyperlink" Target="https://www.akankshascholarship.com/" TargetMode="External"/><Relationship Id="rId119" Type="http://schemas.openxmlformats.org/officeDocument/2006/relationships/hyperlink" Target="https://www.deakin.edu.au/study/fees-and-scholarships/scholarships/find-a-scholarship/deakin-india-25-merit-scholarship" TargetMode="External"/><Relationship Id="rId326" Type="http://schemas.openxmlformats.org/officeDocument/2006/relationships/hyperlink" Target="https://www.youtube.com/watch?v=Y5wLREWzdH4" TargetMode="External"/><Relationship Id="rId533" Type="http://schemas.openxmlformats.org/officeDocument/2006/relationships/hyperlink" Target="https://www.worldnomads.com/create/scholarships" TargetMode="External"/><Relationship Id="rId172" Type="http://schemas.openxmlformats.org/officeDocument/2006/relationships/hyperlink" Target="mailto:info@poetrysociety.org.uk" TargetMode="External"/><Relationship Id="rId477" Type="http://schemas.openxmlformats.org/officeDocument/2006/relationships/hyperlink" Target="http://snu.edu.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CA9A0-1602-43AE-9084-4698563B8F86}">
  <dimension ref="A1:N261"/>
  <sheetViews>
    <sheetView tabSelected="1" topLeftCell="I1" zoomScale="70" zoomScaleNormal="70" workbookViewId="0">
      <pane ySplit="1" topLeftCell="A261" activePane="bottomLeft" state="frozen"/>
      <selection pane="bottomLeft" activeCell="Q261" sqref="Q261"/>
    </sheetView>
  </sheetViews>
  <sheetFormatPr defaultRowHeight="14.4"/>
  <cols>
    <col min="1" max="1" width="6.44140625" bestFit="1" customWidth="1"/>
    <col min="2" max="2" width="83.5546875" bestFit="1" customWidth="1"/>
    <col min="3" max="3" width="32.21875" style="2" bestFit="1" customWidth="1"/>
    <col min="4" max="4" width="68.109375" style="2" customWidth="1"/>
    <col min="5" max="5" width="105.88671875" bestFit="1" customWidth="1"/>
    <col min="6" max="6" width="77.21875" bestFit="1" customWidth="1"/>
    <col min="7" max="7" width="54.77734375" style="2" customWidth="1"/>
    <col min="8" max="8" width="103.21875" bestFit="1" customWidth="1"/>
    <col min="9" max="9" width="59.109375" customWidth="1"/>
    <col min="10" max="10" width="38.5546875" style="2" customWidth="1"/>
    <col min="11" max="11" width="42.6640625" style="3" customWidth="1"/>
    <col min="12" max="12" width="39.44140625" style="4" customWidth="1"/>
  </cols>
  <sheetData>
    <row r="1" spans="1:14">
      <c r="A1" s="5" t="s">
        <v>0</v>
      </c>
      <c r="B1" s="5" t="s">
        <v>500</v>
      </c>
      <c r="C1" s="6" t="s">
        <v>501</v>
      </c>
      <c r="D1" s="6" t="s">
        <v>1</v>
      </c>
      <c r="E1" s="5" t="s">
        <v>218</v>
      </c>
      <c r="F1" s="5" t="s">
        <v>219</v>
      </c>
      <c r="G1" s="6" t="s">
        <v>503</v>
      </c>
      <c r="H1" s="6" t="s">
        <v>2</v>
      </c>
      <c r="I1" s="6" t="s">
        <v>504</v>
      </c>
      <c r="J1" s="6" t="s">
        <v>220</v>
      </c>
      <c r="K1" s="6" t="s">
        <v>3</v>
      </c>
      <c r="L1" s="7" t="s">
        <v>5</v>
      </c>
      <c r="M1" s="6" t="s">
        <v>505</v>
      </c>
      <c r="N1" s="6" t="s">
        <v>4</v>
      </c>
    </row>
    <row r="2" spans="1:14" ht="316.8">
      <c r="A2" s="8">
        <v>1</v>
      </c>
      <c r="B2" s="9" t="s">
        <v>6</v>
      </c>
      <c r="C2" s="10" t="s">
        <v>506</v>
      </c>
      <c r="D2" s="11" t="s">
        <v>507</v>
      </c>
      <c r="E2" s="9" t="s">
        <v>221</v>
      </c>
      <c r="F2" s="9" t="s">
        <v>327</v>
      </c>
      <c r="G2" s="11" t="s">
        <v>508</v>
      </c>
      <c r="H2" s="11" t="s">
        <v>509</v>
      </c>
      <c r="I2" s="11" t="s">
        <v>510</v>
      </c>
      <c r="J2" s="10" t="s">
        <v>373</v>
      </c>
      <c r="K2" s="11" t="s">
        <v>511</v>
      </c>
      <c r="L2" s="12" t="s">
        <v>512</v>
      </c>
      <c r="M2" s="11" t="s">
        <v>513</v>
      </c>
      <c r="N2" s="13" t="s">
        <v>502</v>
      </c>
    </row>
    <row r="3" spans="1:14" ht="356.4">
      <c r="A3" s="8">
        <v>2</v>
      </c>
      <c r="B3" s="9" t="s">
        <v>7</v>
      </c>
      <c r="C3" s="10" t="s">
        <v>514</v>
      </c>
      <c r="D3" s="11" t="s">
        <v>515</v>
      </c>
      <c r="E3" s="9" t="s">
        <v>222</v>
      </c>
      <c r="F3" s="9" t="s">
        <v>328</v>
      </c>
      <c r="G3" s="13" t="s">
        <v>516</v>
      </c>
      <c r="H3" s="11" t="s">
        <v>517</v>
      </c>
      <c r="I3" s="11" t="s">
        <v>518</v>
      </c>
      <c r="J3" s="10" t="s">
        <v>374</v>
      </c>
      <c r="K3" s="13" t="s">
        <v>658</v>
      </c>
      <c r="L3" s="12">
        <v>38622283535</v>
      </c>
      <c r="M3" s="11" t="s">
        <v>520</v>
      </c>
      <c r="N3" s="11" t="s">
        <v>521</v>
      </c>
    </row>
    <row r="4" spans="1:14" ht="316.8">
      <c r="A4" s="8">
        <v>3</v>
      </c>
      <c r="B4" s="14" t="s">
        <v>8</v>
      </c>
      <c r="C4" s="10" t="s">
        <v>522</v>
      </c>
      <c r="D4" s="11" t="s">
        <v>523</v>
      </c>
      <c r="E4" s="9" t="s">
        <v>223</v>
      </c>
      <c r="F4" s="15" t="s">
        <v>365</v>
      </c>
      <c r="G4" s="11" t="s">
        <v>524</v>
      </c>
      <c r="H4" s="11" t="s">
        <v>525</v>
      </c>
      <c r="I4" s="11" t="s">
        <v>526</v>
      </c>
      <c r="J4" s="11" t="s">
        <v>527</v>
      </c>
      <c r="K4" s="13" t="s">
        <v>528</v>
      </c>
      <c r="L4" s="12">
        <v>918800235665</v>
      </c>
      <c r="M4" s="11" t="s">
        <v>529</v>
      </c>
      <c r="N4" s="13" t="s">
        <v>530</v>
      </c>
    </row>
    <row r="5" spans="1:14" ht="316.8">
      <c r="A5" s="8">
        <v>4</v>
      </c>
      <c r="B5" s="9" t="s">
        <v>9</v>
      </c>
      <c r="C5" s="10" t="s">
        <v>531</v>
      </c>
      <c r="D5" s="11" t="s">
        <v>532</v>
      </c>
      <c r="E5" s="9" t="s">
        <v>224</v>
      </c>
      <c r="F5" s="9" t="s">
        <v>329</v>
      </c>
      <c r="G5" s="13" t="s">
        <v>533</v>
      </c>
      <c r="H5" s="11" t="s">
        <v>534</v>
      </c>
      <c r="I5" s="11" t="s">
        <v>535</v>
      </c>
      <c r="J5" s="10" t="s">
        <v>375</v>
      </c>
      <c r="K5" s="13" t="s">
        <v>536</v>
      </c>
      <c r="L5" s="11" t="s">
        <v>537</v>
      </c>
      <c r="M5" s="11" t="s">
        <v>538</v>
      </c>
      <c r="N5" s="13" t="s">
        <v>539</v>
      </c>
    </row>
    <row r="6" spans="1:14" ht="316.8">
      <c r="A6" s="8">
        <v>5</v>
      </c>
      <c r="B6" s="9" t="s">
        <v>9</v>
      </c>
      <c r="C6" s="10" t="s">
        <v>531</v>
      </c>
      <c r="D6" s="11" t="s">
        <v>532</v>
      </c>
      <c r="E6" s="9" t="s">
        <v>224</v>
      </c>
      <c r="F6" s="9" t="s">
        <v>329</v>
      </c>
      <c r="G6" s="13" t="s">
        <v>533</v>
      </c>
      <c r="H6" s="11" t="s">
        <v>534</v>
      </c>
      <c r="I6" s="11" t="s">
        <v>535</v>
      </c>
      <c r="J6" s="10" t="s">
        <v>375</v>
      </c>
      <c r="K6" s="13" t="s">
        <v>536</v>
      </c>
      <c r="L6" s="11" t="s">
        <v>537</v>
      </c>
      <c r="M6" s="11" t="s">
        <v>538</v>
      </c>
      <c r="N6" s="13" t="s">
        <v>539</v>
      </c>
    </row>
    <row r="7" spans="1:14" ht="277.2">
      <c r="A7" s="8">
        <v>6</v>
      </c>
      <c r="B7" s="9" t="s">
        <v>10</v>
      </c>
      <c r="C7" s="10" t="s">
        <v>540</v>
      </c>
      <c r="D7" s="11" t="s">
        <v>541</v>
      </c>
      <c r="E7" s="9" t="s">
        <v>222</v>
      </c>
      <c r="F7" s="9" t="s">
        <v>331</v>
      </c>
      <c r="G7" s="13" t="s">
        <v>542</v>
      </c>
      <c r="H7" s="11" t="s">
        <v>543</v>
      </c>
      <c r="I7" s="11" t="s">
        <v>544</v>
      </c>
      <c r="J7" s="10" t="s">
        <v>376</v>
      </c>
      <c r="K7" s="13" t="s">
        <v>658</v>
      </c>
      <c r="L7" s="11" t="s">
        <v>545</v>
      </c>
      <c r="M7" s="11" t="s">
        <v>546</v>
      </c>
      <c r="N7" s="13" t="s">
        <v>547</v>
      </c>
    </row>
    <row r="8" spans="1:14" ht="277.2">
      <c r="A8" s="8">
        <v>7</v>
      </c>
      <c r="B8" s="9" t="s">
        <v>11</v>
      </c>
      <c r="C8" s="10" t="s">
        <v>548</v>
      </c>
      <c r="D8" s="11" t="s">
        <v>549</v>
      </c>
      <c r="E8" s="9" t="s">
        <v>225</v>
      </c>
      <c r="F8" s="9" t="s">
        <v>332</v>
      </c>
      <c r="G8" s="13" t="s">
        <v>550</v>
      </c>
      <c r="H8" s="11" t="s">
        <v>551</v>
      </c>
      <c r="I8" s="11" t="s">
        <v>552</v>
      </c>
      <c r="J8" s="10" t="s">
        <v>377</v>
      </c>
      <c r="K8" s="13" t="s">
        <v>553</v>
      </c>
      <c r="L8" s="11" t="s">
        <v>554</v>
      </c>
      <c r="M8" s="11" t="s">
        <v>555</v>
      </c>
      <c r="N8" s="13" t="s">
        <v>556</v>
      </c>
    </row>
    <row r="9" spans="1:14" ht="290.39999999999998">
      <c r="A9" s="8">
        <v>8</v>
      </c>
      <c r="B9" s="9" t="s">
        <v>12</v>
      </c>
      <c r="C9" s="10" t="s">
        <v>557</v>
      </c>
      <c r="D9" s="11" t="s">
        <v>558</v>
      </c>
      <c r="E9" s="9" t="s">
        <v>226</v>
      </c>
      <c r="F9" s="9" t="s">
        <v>333</v>
      </c>
      <c r="G9" s="13" t="s">
        <v>550</v>
      </c>
      <c r="H9" s="11" t="s">
        <v>559</v>
      </c>
      <c r="I9" s="11" t="s">
        <v>560</v>
      </c>
      <c r="J9" s="10" t="str">
        <f ca="1">IFERROR(__xludf.DUMMYFUNCTION("join("" "",unique(transpose(split(A11,"" ""))))"),"AICTE PG (GATE/GPAT) Scholarship for Indian Students")</f>
        <v>AICTE PG (GATE/GPAT) Scholarship for Indian Students</v>
      </c>
      <c r="K9" s="13" t="s">
        <v>561</v>
      </c>
      <c r="L9" s="11" t="s">
        <v>554</v>
      </c>
      <c r="M9" s="11" t="s">
        <v>555</v>
      </c>
      <c r="N9" s="16" t="s">
        <v>556</v>
      </c>
    </row>
    <row r="10" spans="1:14" ht="330">
      <c r="A10" s="8">
        <v>9</v>
      </c>
      <c r="B10" s="9" t="s">
        <v>13</v>
      </c>
      <c r="C10" s="10" t="s">
        <v>562</v>
      </c>
      <c r="D10" s="11" t="s">
        <v>563</v>
      </c>
      <c r="E10" s="9" t="s">
        <v>225</v>
      </c>
      <c r="F10" s="9" t="s">
        <v>334</v>
      </c>
      <c r="G10" s="13" t="s">
        <v>564</v>
      </c>
      <c r="H10" s="11" t="s">
        <v>565</v>
      </c>
      <c r="I10" s="11" t="s">
        <v>566</v>
      </c>
      <c r="J10" s="10" t="s">
        <v>377</v>
      </c>
      <c r="K10" s="13" t="s">
        <v>567</v>
      </c>
      <c r="L10" s="11" t="s">
        <v>554</v>
      </c>
      <c r="M10" s="11" t="s">
        <v>555</v>
      </c>
      <c r="N10" s="13" t="s">
        <v>556</v>
      </c>
    </row>
    <row r="11" spans="1:14" ht="250.8">
      <c r="A11" s="8">
        <v>10</v>
      </c>
      <c r="B11" s="9" t="s">
        <v>14</v>
      </c>
      <c r="C11" s="10" t="s">
        <v>568</v>
      </c>
      <c r="D11" s="11" t="s">
        <v>569</v>
      </c>
      <c r="E11" s="9" t="s">
        <v>225</v>
      </c>
      <c r="F11" s="9" t="s">
        <v>335</v>
      </c>
      <c r="G11" s="13" t="s">
        <v>570</v>
      </c>
      <c r="H11" s="11" t="s">
        <v>571</v>
      </c>
      <c r="I11" s="11" t="s">
        <v>572</v>
      </c>
      <c r="J11" s="10" t="s">
        <v>378</v>
      </c>
      <c r="K11" s="13" t="s">
        <v>573</v>
      </c>
      <c r="L11" s="11" t="s">
        <v>574</v>
      </c>
      <c r="M11" s="11" t="s">
        <v>575</v>
      </c>
      <c r="N11" s="13" t="s">
        <v>576</v>
      </c>
    </row>
    <row r="12" spans="1:14" ht="316.8">
      <c r="A12" s="8">
        <v>11</v>
      </c>
      <c r="B12" s="9" t="s">
        <v>15</v>
      </c>
      <c r="C12" s="10" t="s">
        <v>577</v>
      </c>
      <c r="D12" s="11" t="s">
        <v>578</v>
      </c>
      <c r="E12" s="9" t="s">
        <v>227</v>
      </c>
      <c r="F12" s="9" t="s">
        <v>336</v>
      </c>
      <c r="G12" s="13" t="s">
        <v>579</v>
      </c>
      <c r="H12" s="11" t="s">
        <v>580</v>
      </c>
      <c r="I12" s="11" t="s">
        <v>581</v>
      </c>
      <c r="J12" s="10" t="s">
        <v>379</v>
      </c>
      <c r="K12" s="13" t="s">
        <v>582</v>
      </c>
      <c r="L12" s="11" t="s">
        <v>583</v>
      </c>
      <c r="M12" s="11" t="s">
        <v>584</v>
      </c>
      <c r="N12" s="13" t="s">
        <v>585</v>
      </c>
    </row>
    <row r="13" spans="1:14" ht="290.39999999999998">
      <c r="A13" s="8">
        <v>12</v>
      </c>
      <c r="B13" s="9" t="s">
        <v>16</v>
      </c>
      <c r="C13" s="10" t="s">
        <v>586</v>
      </c>
      <c r="D13" s="11" t="s">
        <v>587</v>
      </c>
      <c r="E13" s="15" t="s">
        <v>588</v>
      </c>
      <c r="F13" s="15" t="s">
        <v>355</v>
      </c>
      <c r="G13" s="11" t="s">
        <v>589</v>
      </c>
      <c r="H13" s="11" t="s">
        <v>590</v>
      </c>
      <c r="I13" s="11" t="s">
        <v>659</v>
      </c>
      <c r="J13" s="11" t="s">
        <v>591</v>
      </c>
      <c r="K13" s="13" t="s">
        <v>658</v>
      </c>
      <c r="L13" s="11" t="s">
        <v>592</v>
      </c>
      <c r="M13" s="11" t="s">
        <v>593</v>
      </c>
      <c r="N13" s="13" t="s">
        <v>594</v>
      </c>
    </row>
    <row r="14" spans="1:14" ht="330">
      <c r="A14" s="8">
        <v>13</v>
      </c>
      <c r="B14" s="9" t="s">
        <v>17</v>
      </c>
      <c r="C14" s="10" t="s">
        <v>595</v>
      </c>
      <c r="D14" s="11" t="s">
        <v>596</v>
      </c>
      <c r="E14" s="9" t="s">
        <v>225</v>
      </c>
      <c r="F14" s="9" t="s">
        <v>337</v>
      </c>
      <c r="G14" s="13" t="s">
        <v>597</v>
      </c>
      <c r="H14" s="11" t="s">
        <v>598</v>
      </c>
      <c r="I14" s="11" t="s">
        <v>599</v>
      </c>
      <c r="J14" s="10" t="s">
        <v>380</v>
      </c>
      <c r="K14" s="13" t="s">
        <v>600</v>
      </c>
      <c r="L14" s="11" t="s">
        <v>583</v>
      </c>
      <c r="M14" s="11" t="s">
        <v>601</v>
      </c>
      <c r="N14" s="13" t="s">
        <v>602</v>
      </c>
    </row>
    <row r="15" spans="1:14" ht="303.60000000000002">
      <c r="A15" s="8">
        <v>14</v>
      </c>
      <c r="B15" s="9" t="s">
        <v>18</v>
      </c>
      <c r="C15" s="10" t="s">
        <v>603</v>
      </c>
      <c r="D15" s="11" t="s">
        <v>604</v>
      </c>
      <c r="E15" s="9" t="s">
        <v>228</v>
      </c>
      <c r="F15" s="9" t="s">
        <v>328</v>
      </c>
      <c r="G15" s="13" t="s">
        <v>605</v>
      </c>
      <c r="H15" s="11" t="s">
        <v>606</v>
      </c>
      <c r="I15" s="11" t="s">
        <v>607</v>
      </c>
      <c r="J15" s="10" t="s">
        <v>373</v>
      </c>
      <c r="K15" s="13" t="s">
        <v>608</v>
      </c>
      <c r="L15" s="11" t="s">
        <v>583</v>
      </c>
      <c r="M15" s="11" t="s">
        <v>609</v>
      </c>
      <c r="N15" s="13" t="s">
        <v>610</v>
      </c>
    </row>
    <row r="16" spans="1:14" ht="290.39999999999998">
      <c r="A16" s="8">
        <v>15</v>
      </c>
      <c r="B16" s="9" t="s">
        <v>19</v>
      </c>
      <c r="C16" s="10" t="s">
        <v>611</v>
      </c>
      <c r="D16" s="11" t="s">
        <v>612</v>
      </c>
      <c r="E16" s="9" t="s">
        <v>227</v>
      </c>
      <c r="F16" s="9" t="s">
        <v>337</v>
      </c>
      <c r="G16" s="13" t="s">
        <v>613</v>
      </c>
      <c r="H16" s="11" t="s">
        <v>614</v>
      </c>
      <c r="I16" s="11" t="s">
        <v>615</v>
      </c>
      <c r="J16" s="10" t="s">
        <v>381</v>
      </c>
      <c r="K16" s="13" t="s">
        <v>616</v>
      </c>
      <c r="L16" s="11" t="s">
        <v>583</v>
      </c>
      <c r="M16" s="11" t="s">
        <v>617</v>
      </c>
      <c r="N16" s="13" t="s">
        <v>618</v>
      </c>
    </row>
    <row r="17" spans="1:14" ht="303.60000000000002">
      <c r="A17" s="8">
        <v>16</v>
      </c>
      <c r="B17" s="9" t="s">
        <v>20</v>
      </c>
      <c r="C17" s="10" t="s">
        <v>619</v>
      </c>
      <c r="D17" s="11" t="s">
        <v>620</v>
      </c>
      <c r="E17" s="9" t="s">
        <v>225</v>
      </c>
      <c r="F17" s="9" t="s">
        <v>338</v>
      </c>
      <c r="G17" s="13" t="s">
        <v>621</v>
      </c>
      <c r="H17" s="11" t="s">
        <v>622</v>
      </c>
      <c r="I17" s="11" t="s">
        <v>623</v>
      </c>
      <c r="J17" s="10" t="s">
        <v>20</v>
      </c>
      <c r="K17" s="13" t="s">
        <v>624</v>
      </c>
      <c r="L17" s="11" t="s">
        <v>583</v>
      </c>
      <c r="M17" s="11" t="s">
        <v>625</v>
      </c>
      <c r="N17" s="13" t="s">
        <v>626</v>
      </c>
    </row>
    <row r="18" spans="1:14" ht="303.60000000000002">
      <c r="A18" s="8">
        <v>17</v>
      </c>
      <c r="B18" s="9" t="s">
        <v>21</v>
      </c>
      <c r="C18" s="10" t="s">
        <v>627</v>
      </c>
      <c r="D18" s="11" t="s">
        <v>628</v>
      </c>
      <c r="E18" s="9" t="s">
        <v>222</v>
      </c>
      <c r="F18" s="9" t="s">
        <v>328</v>
      </c>
      <c r="G18" s="13" t="s">
        <v>629</v>
      </c>
      <c r="H18" s="11" t="s">
        <v>630</v>
      </c>
      <c r="I18" s="11" t="s">
        <v>631</v>
      </c>
      <c r="J18" s="10" t="s">
        <v>382</v>
      </c>
      <c r="K18" s="11" t="s">
        <v>660</v>
      </c>
      <c r="L18" s="11" t="s">
        <v>632</v>
      </c>
      <c r="M18" s="11" t="s">
        <v>633</v>
      </c>
      <c r="N18" s="13" t="s">
        <v>634</v>
      </c>
    </row>
    <row r="19" spans="1:14" ht="330">
      <c r="A19" s="8">
        <v>18</v>
      </c>
      <c r="B19" s="9" t="s">
        <v>22</v>
      </c>
      <c r="C19" s="10" t="s">
        <v>635</v>
      </c>
      <c r="D19" s="11" t="s">
        <v>636</v>
      </c>
      <c r="E19" s="9" t="s">
        <v>225</v>
      </c>
      <c r="F19" s="9" t="s">
        <v>337</v>
      </c>
      <c r="G19" s="13" t="s">
        <v>637</v>
      </c>
      <c r="H19" s="11" t="s">
        <v>638</v>
      </c>
      <c r="I19" s="11" t="s">
        <v>639</v>
      </c>
      <c r="J19" s="10" t="s">
        <v>383</v>
      </c>
      <c r="K19" s="13" t="s">
        <v>640</v>
      </c>
      <c r="L19" s="11" t="s">
        <v>641</v>
      </c>
      <c r="M19" s="11" t="s">
        <v>642</v>
      </c>
      <c r="N19" s="13" t="s">
        <v>643</v>
      </c>
    </row>
    <row r="20" spans="1:14" ht="277.2">
      <c r="A20" s="8">
        <v>19</v>
      </c>
      <c r="B20" s="9" t="s">
        <v>23</v>
      </c>
      <c r="C20" s="10" t="s">
        <v>644</v>
      </c>
      <c r="D20" s="11" t="s">
        <v>645</v>
      </c>
      <c r="E20" s="9" t="s">
        <v>222</v>
      </c>
      <c r="F20" s="9" t="s">
        <v>331</v>
      </c>
      <c r="G20" s="13" t="s">
        <v>646</v>
      </c>
      <c r="H20" s="11" t="s">
        <v>647</v>
      </c>
      <c r="I20" s="11" t="s">
        <v>648</v>
      </c>
      <c r="J20" s="10" t="s">
        <v>376</v>
      </c>
      <c r="K20" s="11" t="s">
        <v>660</v>
      </c>
      <c r="L20" s="11" t="s">
        <v>583</v>
      </c>
      <c r="M20" s="11" t="s">
        <v>649</v>
      </c>
      <c r="N20" s="13" t="s">
        <v>650</v>
      </c>
    </row>
    <row r="21" spans="1:14" ht="343.2">
      <c r="A21" s="8">
        <v>20</v>
      </c>
      <c r="B21" s="9" t="s">
        <v>24</v>
      </c>
      <c r="C21" s="10" t="s">
        <v>651</v>
      </c>
      <c r="D21" s="11" t="s">
        <v>652</v>
      </c>
      <c r="E21" s="9" t="s">
        <v>225</v>
      </c>
      <c r="F21" s="9" t="s">
        <v>339</v>
      </c>
      <c r="G21" s="13" t="s">
        <v>653</v>
      </c>
      <c r="H21" s="11" t="s">
        <v>654</v>
      </c>
      <c r="I21" s="11" t="s">
        <v>655</v>
      </c>
      <c r="J21" s="10" t="s">
        <v>384</v>
      </c>
      <c r="K21" s="11" t="s">
        <v>660</v>
      </c>
      <c r="L21" s="11" t="s">
        <v>583</v>
      </c>
      <c r="M21" s="11" t="s">
        <v>656</v>
      </c>
      <c r="N21" s="11" t="s">
        <v>657</v>
      </c>
    </row>
    <row r="22" spans="1:14" ht="330">
      <c r="A22" s="8">
        <v>21</v>
      </c>
      <c r="B22" s="9" t="s">
        <v>25</v>
      </c>
      <c r="C22" s="10" t="s">
        <v>661</v>
      </c>
      <c r="D22" s="11" t="s">
        <v>662</v>
      </c>
      <c r="E22" s="9" t="s">
        <v>222</v>
      </c>
      <c r="F22" s="9" t="s">
        <v>340</v>
      </c>
      <c r="G22" s="13" t="s">
        <v>663</v>
      </c>
      <c r="H22" s="11" t="s">
        <v>664</v>
      </c>
      <c r="I22" s="11" t="s">
        <v>665</v>
      </c>
      <c r="J22" s="10" t="s">
        <v>385</v>
      </c>
      <c r="K22" s="13" t="s">
        <v>666</v>
      </c>
      <c r="L22" s="11" t="s">
        <v>667</v>
      </c>
      <c r="M22" s="11" t="s">
        <v>668</v>
      </c>
      <c r="N22" s="13" t="s">
        <v>669</v>
      </c>
    </row>
    <row r="23" spans="1:14" ht="356.4">
      <c r="A23" s="8">
        <v>22</v>
      </c>
      <c r="B23" s="9" t="s">
        <v>26</v>
      </c>
      <c r="C23" s="10" t="s">
        <v>670</v>
      </c>
      <c r="D23" s="11" t="s">
        <v>671</v>
      </c>
      <c r="E23" s="9" t="s">
        <v>229</v>
      </c>
      <c r="F23" s="9" t="s">
        <v>341</v>
      </c>
      <c r="G23" s="13" t="s">
        <v>672</v>
      </c>
      <c r="H23" s="11" t="s">
        <v>673</v>
      </c>
      <c r="I23" s="11" t="s">
        <v>674</v>
      </c>
      <c r="J23" s="9" t="s">
        <v>26</v>
      </c>
      <c r="K23" s="13" t="s">
        <v>675</v>
      </c>
      <c r="L23" s="11" t="s">
        <v>676</v>
      </c>
      <c r="M23" s="11" t="s">
        <v>677</v>
      </c>
      <c r="N23" s="13" t="s">
        <v>678</v>
      </c>
    </row>
    <row r="24" spans="1:14" ht="330">
      <c r="A24" s="8">
        <v>23</v>
      </c>
      <c r="B24" s="9" t="s">
        <v>27</v>
      </c>
      <c r="C24" s="10" t="s">
        <v>679</v>
      </c>
      <c r="D24" s="11" t="s">
        <v>680</v>
      </c>
      <c r="E24" s="9" t="s">
        <v>222</v>
      </c>
      <c r="F24" s="9" t="s">
        <v>328</v>
      </c>
      <c r="G24" s="13" t="s">
        <v>681</v>
      </c>
      <c r="H24" s="11" t="s">
        <v>682</v>
      </c>
      <c r="I24" s="11" t="s">
        <v>683</v>
      </c>
      <c r="J24" s="10" t="s">
        <v>386</v>
      </c>
      <c r="K24" s="13" t="s">
        <v>684</v>
      </c>
      <c r="L24" s="11" t="s">
        <v>685</v>
      </c>
      <c r="M24" s="11" t="s">
        <v>686</v>
      </c>
      <c r="N24" s="11" t="s">
        <v>687</v>
      </c>
    </row>
    <row r="25" spans="1:14" ht="303.60000000000002">
      <c r="A25" s="8">
        <v>24</v>
      </c>
      <c r="B25" s="9" t="s">
        <v>28</v>
      </c>
      <c r="C25" s="10" t="s">
        <v>688</v>
      </c>
      <c r="D25" s="11" t="s">
        <v>689</v>
      </c>
      <c r="E25" s="9" t="s">
        <v>222</v>
      </c>
      <c r="F25" s="9" t="s">
        <v>328</v>
      </c>
      <c r="G25" s="11" t="s">
        <v>690</v>
      </c>
      <c r="H25" s="11" t="s">
        <v>691</v>
      </c>
      <c r="I25" s="11" t="s">
        <v>692</v>
      </c>
      <c r="J25" s="10" t="s">
        <v>387</v>
      </c>
      <c r="K25" s="13" t="s">
        <v>658</v>
      </c>
      <c r="L25" s="11" t="s">
        <v>693</v>
      </c>
      <c r="M25" s="11" t="s">
        <v>694</v>
      </c>
      <c r="N25" s="11" t="s">
        <v>695</v>
      </c>
    </row>
    <row r="26" spans="1:14" ht="316.8">
      <c r="A26" s="8">
        <v>25</v>
      </c>
      <c r="B26" s="9" t="s">
        <v>29</v>
      </c>
      <c r="C26" s="10" t="s">
        <v>696</v>
      </c>
      <c r="D26" s="11" t="s">
        <v>697</v>
      </c>
      <c r="E26" s="9" t="s">
        <v>230</v>
      </c>
      <c r="F26" s="9" t="s">
        <v>334</v>
      </c>
      <c r="G26" s="13" t="s">
        <v>698</v>
      </c>
      <c r="H26" s="11" t="s">
        <v>699</v>
      </c>
      <c r="I26" s="11" t="s">
        <v>700</v>
      </c>
      <c r="J26" s="10" t="s">
        <v>373</v>
      </c>
      <c r="K26" s="13" t="s">
        <v>701</v>
      </c>
      <c r="L26" s="11" t="s">
        <v>702</v>
      </c>
      <c r="M26" s="11" t="s">
        <v>703</v>
      </c>
      <c r="N26" s="13" t="s">
        <v>704</v>
      </c>
    </row>
    <row r="27" spans="1:14" ht="290.39999999999998">
      <c r="A27" s="8">
        <v>26</v>
      </c>
      <c r="B27" s="9" t="s">
        <v>30</v>
      </c>
      <c r="C27" s="10" t="s">
        <v>705</v>
      </c>
      <c r="D27" s="11" t="s">
        <v>706</v>
      </c>
      <c r="E27" s="9" t="s">
        <v>224</v>
      </c>
      <c r="F27" s="9" t="s">
        <v>342</v>
      </c>
      <c r="G27" s="13" t="s">
        <v>707</v>
      </c>
      <c r="H27" s="11" t="s">
        <v>708</v>
      </c>
      <c r="I27" s="11" t="s">
        <v>709</v>
      </c>
      <c r="J27" s="10" t="s">
        <v>388</v>
      </c>
      <c r="K27" s="13" t="s">
        <v>710</v>
      </c>
      <c r="L27" s="11" t="s">
        <v>711</v>
      </c>
      <c r="M27" s="11" t="s">
        <v>712</v>
      </c>
      <c r="N27" s="11" t="s">
        <v>713</v>
      </c>
    </row>
    <row r="28" spans="1:14" ht="277.2">
      <c r="A28" s="8">
        <v>27</v>
      </c>
      <c r="B28" s="9" t="s">
        <v>31</v>
      </c>
      <c r="C28" s="10" t="s">
        <v>714</v>
      </c>
      <c r="D28" s="11" t="s">
        <v>715</v>
      </c>
      <c r="E28" s="9" t="s">
        <v>222</v>
      </c>
      <c r="F28" s="9" t="s">
        <v>332</v>
      </c>
      <c r="G28" s="13" t="s">
        <v>716</v>
      </c>
      <c r="H28" s="11" t="s">
        <v>717</v>
      </c>
      <c r="I28" s="11" t="s">
        <v>718</v>
      </c>
      <c r="J28" s="10" t="s">
        <v>376</v>
      </c>
      <c r="K28" s="13" t="s">
        <v>719</v>
      </c>
      <c r="L28" s="11" t="s">
        <v>720</v>
      </c>
      <c r="M28" s="11" t="s">
        <v>721</v>
      </c>
      <c r="N28" s="11" t="s">
        <v>722</v>
      </c>
    </row>
    <row r="29" spans="1:14" ht="316.8">
      <c r="A29" s="8">
        <v>28</v>
      </c>
      <c r="B29" s="9" t="s">
        <v>32</v>
      </c>
      <c r="C29" s="10" t="s">
        <v>723</v>
      </c>
      <c r="D29" s="11" t="s">
        <v>724</v>
      </c>
      <c r="E29" s="9" t="s">
        <v>231</v>
      </c>
      <c r="F29" s="9" t="s">
        <v>342</v>
      </c>
      <c r="G29" s="13" t="s">
        <v>725</v>
      </c>
      <c r="H29" s="11" t="s">
        <v>726</v>
      </c>
      <c r="I29" s="11" t="s">
        <v>727</v>
      </c>
      <c r="J29" s="10" t="s">
        <v>389</v>
      </c>
      <c r="K29" s="13" t="s">
        <v>728</v>
      </c>
      <c r="L29" s="11" t="s">
        <v>729</v>
      </c>
      <c r="M29" s="11" t="s">
        <v>656</v>
      </c>
      <c r="N29" s="13" t="s">
        <v>730</v>
      </c>
    </row>
    <row r="30" spans="1:14" ht="290.39999999999998">
      <c r="A30" s="8">
        <v>29</v>
      </c>
      <c r="B30" s="9" t="s">
        <v>33</v>
      </c>
      <c r="C30" s="10" t="s">
        <v>731</v>
      </c>
      <c r="D30" s="11" t="s">
        <v>732</v>
      </c>
      <c r="E30" s="9" t="s">
        <v>232</v>
      </c>
      <c r="F30" s="15" t="s">
        <v>355</v>
      </c>
      <c r="G30" s="13" t="s">
        <v>733</v>
      </c>
      <c r="H30" s="11" t="s">
        <v>734</v>
      </c>
      <c r="I30" s="11" t="s">
        <v>735</v>
      </c>
      <c r="J30" s="10" t="s">
        <v>390</v>
      </c>
      <c r="K30" s="13" t="s">
        <v>736</v>
      </c>
      <c r="L30" s="11" t="s">
        <v>737</v>
      </c>
      <c r="M30" s="11" t="s">
        <v>738</v>
      </c>
      <c r="N30" s="13" t="s">
        <v>739</v>
      </c>
    </row>
    <row r="31" spans="1:14" ht="356.4">
      <c r="A31" s="8">
        <v>30</v>
      </c>
      <c r="B31" s="9" t="s">
        <v>34</v>
      </c>
      <c r="C31" s="10" t="s">
        <v>740</v>
      </c>
      <c r="D31" s="11" t="s">
        <v>741</v>
      </c>
      <c r="E31" s="9" t="s">
        <v>225</v>
      </c>
      <c r="F31" s="9" t="s">
        <v>327</v>
      </c>
      <c r="G31" s="13" t="s">
        <v>742</v>
      </c>
      <c r="H31" s="11" t="s">
        <v>743</v>
      </c>
      <c r="I31" s="11" t="s">
        <v>744</v>
      </c>
      <c r="J31" s="10" t="s">
        <v>391</v>
      </c>
      <c r="K31" s="13" t="s">
        <v>745</v>
      </c>
      <c r="L31" s="11" t="s">
        <v>729</v>
      </c>
      <c r="M31" s="11" t="s">
        <v>746</v>
      </c>
      <c r="N31" s="13" t="s">
        <v>747</v>
      </c>
    </row>
    <row r="32" spans="1:14" ht="303.60000000000002">
      <c r="A32" s="8">
        <v>31</v>
      </c>
      <c r="B32" s="9" t="s">
        <v>35</v>
      </c>
      <c r="C32" s="10" t="s">
        <v>748</v>
      </c>
      <c r="D32" s="11" t="s">
        <v>749</v>
      </c>
      <c r="E32" s="9" t="s">
        <v>222</v>
      </c>
      <c r="F32" s="9" t="s">
        <v>332</v>
      </c>
      <c r="G32" s="13" t="s">
        <v>750</v>
      </c>
      <c r="H32" s="11" t="s">
        <v>751</v>
      </c>
      <c r="I32" s="11" t="s">
        <v>752</v>
      </c>
      <c r="J32" s="10" t="s">
        <v>392</v>
      </c>
      <c r="K32" s="13" t="s">
        <v>753</v>
      </c>
      <c r="L32" s="11" t="s">
        <v>754</v>
      </c>
      <c r="M32" s="11" t="s">
        <v>755</v>
      </c>
      <c r="N32" s="13" t="s">
        <v>756</v>
      </c>
    </row>
    <row r="33" spans="1:14" ht="277.2">
      <c r="A33" s="8">
        <v>32</v>
      </c>
      <c r="B33" s="9" t="s">
        <v>36</v>
      </c>
      <c r="C33" s="10" t="s">
        <v>757</v>
      </c>
      <c r="D33" s="11" t="s">
        <v>758</v>
      </c>
      <c r="E33" s="9" t="s">
        <v>222</v>
      </c>
      <c r="F33" s="9" t="s">
        <v>343</v>
      </c>
      <c r="G33" s="11" t="s">
        <v>759</v>
      </c>
      <c r="H33" s="11" t="s">
        <v>760</v>
      </c>
      <c r="I33" s="11" t="s">
        <v>761</v>
      </c>
      <c r="J33" s="10" t="s">
        <v>393</v>
      </c>
      <c r="K33" s="13" t="s">
        <v>658</v>
      </c>
      <c r="L33" s="11" t="s">
        <v>762</v>
      </c>
      <c r="M33" s="11" t="s">
        <v>763</v>
      </c>
      <c r="N33" s="16" t="s">
        <v>764</v>
      </c>
    </row>
    <row r="34" spans="1:14" ht="264">
      <c r="A34" s="8">
        <v>33</v>
      </c>
      <c r="B34" s="9" t="s">
        <v>37</v>
      </c>
      <c r="C34" s="10" t="s">
        <v>765</v>
      </c>
      <c r="D34" s="11" t="s">
        <v>766</v>
      </c>
      <c r="E34" s="9" t="s">
        <v>233</v>
      </c>
      <c r="F34" s="9" t="s">
        <v>332</v>
      </c>
      <c r="G34" s="13" t="s">
        <v>767</v>
      </c>
      <c r="H34" s="11" t="s">
        <v>768</v>
      </c>
      <c r="I34" s="11" t="s">
        <v>769</v>
      </c>
      <c r="J34" s="10" t="s">
        <v>373</v>
      </c>
      <c r="K34" s="13" t="s">
        <v>770</v>
      </c>
      <c r="L34" s="11" t="s">
        <v>771</v>
      </c>
      <c r="M34" s="11" t="s">
        <v>772</v>
      </c>
      <c r="N34" s="13" t="s">
        <v>773</v>
      </c>
    </row>
    <row r="35" spans="1:14" ht="264">
      <c r="A35" s="8">
        <v>34</v>
      </c>
      <c r="B35" s="9" t="s">
        <v>38</v>
      </c>
      <c r="C35" s="10" t="s">
        <v>774</v>
      </c>
      <c r="D35" s="11" t="s">
        <v>775</v>
      </c>
      <c r="E35" s="9" t="s">
        <v>234</v>
      </c>
      <c r="F35" s="15" t="s">
        <v>355</v>
      </c>
      <c r="G35" s="13" t="s">
        <v>776</v>
      </c>
      <c r="H35" s="11" t="s">
        <v>777</v>
      </c>
      <c r="I35" s="11" t="s">
        <v>778</v>
      </c>
      <c r="J35" s="10" t="s">
        <v>394</v>
      </c>
      <c r="K35" s="13" t="s">
        <v>658</v>
      </c>
      <c r="L35" s="11" t="s">
        <v>762</v>
      </c>
      <c r="M35" s="11" t="s">
        <v>779</v>
      </c>
      <c r="N35" s="13" t="s">
        <v>780</v>
      </c>
    </row>
    <row r="36" spans="1:14" ht="290.39999999999998">
      <c r="A36" s="8">
        <v>35</v>
      </c>
      <c r="B36" s="17" t="s">
        <v>39</v>
      </c>
      <c r="C36" s="18" t="s">
        <v>781</v>
      </c>
      <c r="D36" s="11" t="s">
        <v>782</v>
      </c>
      <c r="E36" s="9" t="s">
        <v>222</v>
      </c>
      <c r="F36" s="9" t="s">
        <v>329</v>
      </c>
      <c r="G36" s="13" t="s">
        <v>783</v>
      </c>
      <c r="H36" s="11" t="s">
        <v>784</v>
      </c>
      <c r="I36" s="11" t="s">
        <v>785</v>
      </c>
      <c r="J36" s="10" t="s">
        <v>395</v>
      </c>
      <c r="K36" s="13" t="s">
        <v>786</v>
      </c>
      <c r="L36" s="11" t="s">
        <v>787</v>
      </c>
      <c r="M36" s="11" t="s">
        <v>788</v>
      </c>
      <c r="N36" s="13" t="s">
        <v>789</v>
      </c>
    </row>
    <row r="37" spans="1:14" ht="316.8">
      <c r="A37" s="8">
        <v>36</v>
      </c>
      <c r="B37" s="9" t="s">
        <v>40</v>
      </c>
      <c r="C37" s="10" t="s">
        <v>790</v>
      </c>
      <c r="D37" s="11" t="s">
        <v>791</v>
      </c>
      <c r="E37" s="9" t="s">
        <v>222</v>
      </c>
      <c r="F37" s="9" t="s">
        <v>344</v>
      </c>
      <c r="G37" s="13" t="s">
        <v>792</v>
      </c>
      <c r="H37" s="11" t="s">
        <v>793</v>
      </c>
      <c r="I37" s="11" t="s">
        <v>794</v>
      </c>
      <c r="J37" s="10" t="s">
        <v>376</v>
      </c>
      <c r="K37" s="13" t="s">
        <v>795</v>
      </c>
      <c r="L37" s="11" t="s">
        <v>796</v>
      </c>
      <c r="M37" s="11" t="s">
        <v>797</v>
      </c>
      <c r="N37" s="13" t="s">
        <v>798</v>
      </c>
    </row>
    <row r="38" spans="1:14" ht="316.8">
      <c r="A38" s="8">
        <v>37</v>
      </c>
      <c r="B38" s="9" t="s">
        <v>41</v>
      </c>
      <c r="C38" s="10" t="s">
        <v>799</v>
      </c>
      <c r="D38" s="11" t="s">
        <v>800</v>
      </c>
      <c r="E38" s="9" t="s">
        <v>225</v>
      </c>
      <c r="F38" s="9" t="s">
        <v>345</v>
      </c>
      <c r="G38" s="13" t="s">
        <v>801</v>
      </c>
      <c r="H38" s="11" t="s">
        <v>802</v>
      </c>
      <c r="I38" s="11" t="s">
        <v>803</v>
      </c>
      <c r="J38" s="10" t="s">
        <v>396</v>
      </c>
      <c r="K38" s="13" t="s">
        <v>804</v>
      </c>
      <c r="L38" s="11" t="s">
        <v>805</v>
      </c>
      <c r="M38" s="11" t="s">
        <v>806</v>
      </c>
      <c r="N38" s="13" t="s">
        <v>807</v>
      </c>
    </row>
    <row r="39" spans="1:14" ht="277.2">
      <c r="A39" s="8">
        <v>38</v>
      </c>
      <c r="B39" s="9" t="s">
        <v>42</v>
      </c>
      <c r="C39" s="10" t="s">
        <v>808</v>
      </c>
      <c r="D39" s="11" t="s">
        <v>809</v>
      </c>
      <c r="E39" s="9" t="s">
        <v>235</v>
      </c>
      <c r="F39" s="9" t="s">
        <v>346</v>
      </c>
      <c r="G39" s="13" t="s">
        <v>810</v>
      </c>
      <c r="H39" s="11" t="s">
        <v>811</v>
      </c>
      <c r="I39" s="11" t="s">
        <v>812</v>
      </c>
      <c r="J39" s="9" t="s">
        <v>42</v>
      </c>
      <c r="K39" s="13" t="s">
        <v>813</v>
      </c>
      <c r="L39" s="11" t="s">
        <v>814</v>
      </c>
      <c r="M39" s="11" t="s">
        <v>815</v>
      </c>
      <c r="N39" s="13" t="s">
        <v>816</v>
      </c>
    </row>
    <row r="40" spans="1:14" ht="250.8">
      <c r="A40" s="8">
        <v>39</v>
      </c>
      <c r="B40" s="9" t="s">
        <v>43</v>
      </c>
      <c r="C40" s="10" t="s">
        <v>817</v>
      </c>
      <c r="D40" s="11" t="s">
        <v>818</v>
      </c>
      <c r="E40" s="9" t="s">
        <v>222</v>
      </c>
      <c r="F40" s="9" t="s">
        <v>340</v>
      </c>
      <c r="G40" s="13" t="s">
        <v>819</v>
      </c>
      <c r="H40" s="11" t="s">
        <v>820</v>
      </c>
      <c r="I40" s="11" t="s">
        <v>821</v>
      </c>
      <c r="J40" s="10" t="s">
        <v>397</v>
      </c>
      <c r="K40" s="13" t="s">
        <v>822</v>
      </c>
      <c r="L40" s="11" t="s">
        <v>823</v>
      </c>
      <c r="M40" s="11" t="s">
        <v>824</v>
      </c>
      <c r="N40" s="13" t="s">
        <v>825</v>
      </c>
    </row>
    <row r="41" spans="1:14" ht="250.8">
      <c r="A41" s="8">
        <v>40</v>
      </c>
      <c r="B41" s="9" t="s">
        <v>44</v>
      </c>
      <c r="C41" s="10" t="s">
        <v>826</v>
      </c>
      <c r="D41" s="11" t="s">
        <v>827</v>
      </c>
      <c r="E41" s="9" t="s">
        <v>222</v>
      </c>
      <c r="F41" s="9" t="s">
        <v>328</v>
      </c>
      <c r="G41" s="13" t="s">
        <v>828</v>
      </c>
      <c r="H41" s="11" t="s">
        <v>829</v>
      </c>
      <c r="I41" s="11" t="s">
        <v>821</v>
      </c>
      <c r="J41" s="10" t="s">
        <v>398</v>
      </c>
      <c r="K41" s="13" t="s">
        <v>658</v>
      </c>
      <c r="L41" s="11" t="s">
        <v>830</v>
      </c>
      <c r="M41" s="11" t="s">
        <v>831</v>
      </c>
      <c r="N41" s="13" t="s">
        <v>832</v>
      </c>
    </row>
    <row r="42" spans="1:14" ht="264">
      <c r="A42" s="8">
        <v>41</v>
      </c>
      <c r="B42" s="9" t="s">
        <v>45</v>
      </c>
      <c r="C42" s="10" t="s">
        <v>833</v>
      </c>
      <c r="D42" s="11" t="s">
        <v>834</v>
      </c>
      <c r="E42" s="9" t="s">
        <v>236</v>
      </c>
      <c r="F42" s="9" t="s">
        <v>339</v>
      </c>
      <c r="G42" s="13" t="s">
        <v>835</v>
      </c>
      <c r="H42" s="11" t="s">
        <v>836</v>
      </c>
      <c r="I42" s="11" t="s">
        <v>837</v>
      </c>
      <c r="J42" s="10" t="s">
        <v>399</v>
      </c>
      <c r="K42" s="13" t="s">
        <v>838</v>
      </c>
      <c r="L42" s="11" t="s">
        <v>823</v>
      </c>
      <c r="M42" s="11" t="s">
        <v>839</v>
      </c>
      <c r="N42" s="13" t="s">
        <v>840</v>
      </c>
    </row>
    <row r="43" spans="1:14" ht="250.8">
      <c r="A43" s="8">
        <v>42</v>
      </c>
      <c r="B43" s="9" t="s">
        <v>46</v>
      </c>
      <c r="C43" s="10" t="s">
        <v>841</v>
      </c>
      <c r="D43" s="11" t="s">
        <v>842</v>
      </c>
      <c r="E43" s="9" t="s">
        <v>222</v>
      </c>
      <c r="F43" s="9" t="s">
        <v>347</v>
      </c>
      <c r="G43" s="13" t="s">
        <v>843</v>
      </c>
      <c r="H43" s="11" t="s">
        <v>844</v>
      </c>
      <c r="I43" s="11" t="s">
        <v>845</v>
      </c>
      <c r="J43" s="10" t="s">
        <v>376</v>
      </c>
      <c r="K43" s="13" t="s">
        <v>846</v>
      </c>
      <c r="L43" s="11" t="s">
        <v>847</v>
      </c>
      <c r="M43" s="11" t="s">
        <v>848</v>
      </c>
      <c r="N43" s="13" t="s">
        <v>849</v>
      </c>
    </row>
    <row r="44" spans="1:14" ht="250.8">
      <c r="A44" s="8">
        <v>43</v>
      </c>
      <c r="B44" s="9" t="s">
        <v>47</v>
      </c>
      <c r="C44" s="10" t="s">
        <v>850</v>
      </c>
      <c r="D44" s="11" t="s">
        <v>851</v>
      </c>
      <c r="E44" s="9" t="s">
        <v>237</v>
      </c>
      <c r="F44" s="9" t="s">
        <v>336</v>
      </c>
      <c r="G44" s="13" t="s">
        <v>852</v>
      </c>
      <c r="H44" s="11" t="s">
        <v>853</v>
      </c>
      <c r="I44" s="11" t="s">
        <v>854</v>
      </c>
      <c r="J44" s="10" t="s">
        <v>399</v>
      </c>
      <c r="K44" s="13" t="s">
        <v>855</v>
      </c>
      <c r="L44" s="11" t="s">
        <v>787</v>
      </c>
      <c r="M44" s="11" t="s">
        <v>856</v>
      </c>
      <c r="N44" s="13" t="s">
        <v>857</v>
      </c>
    </row>
    <row r="45" spans="1:14" ht="250.8">
      <c r="A45" s="8">
        <v>44</v>
      </c>
      <c r="B45" s="9" t="s">
        <v>48</v>
      </c>
      <c r="C45" s="10" t="s">
        <v>850</v>
      </c>
      <c r="D45" s="11" t="s">
        <v>851</v>
      </c>
      <c r="E45" s="9" t="s">
        <v>237</v>
      </c>
      <c r="F45" s="9" t="s">
        <v>336</v>
      </c>
      <c r="G45" s="13" t="s">
        <v>852</v>
      </c>
      <c r="H45" s="11" t="s">
        <v>853</v>
      </c>
      <c r="I45" s="11" t="s">
        <v>854</v>
      </c>
      <c r="J45" s="10" t="s">
        <v>399</v>
      </c>
      <c r="K45" s="13" t="s">
        <v>855</v>
      </c>
      <c r="L45" s="11" t="s">
        <v>787</v>
      </c>
      <c r="M45" s="11" t="s">
        <v>856</v>
      </c>
      <c r="N45" s="13" t="s">
        <v>857</v>
      </c>
    </row>
    <row r="46" spans="1:14" ht="316.8">
      <c r="A46" s="8">
        <v>45</v>
      </c>
      <c r="B46" s="9" t="s">
        <v>49</v>
      </c>
      <c r="C46" s="10" t="s">
        <v>858</v>
      </c>
      <c r="D46" s="11" t="s">
        <v>859</v>
      </c>
      <c r="E46" s="9" t="s">
        <v>238</v>
      </c>
      <c r="F46" s="9" t="s">
        <v>348</v>
      </c>
      <c r="G46" s="13" t="s">
        <v>860</v>
      </c>
      <c r="H46" s="11" t="s">
        <v>861</v>
      </c>
      <c r="I46" s="11" t="s">
        <v>862</v>
      </c>
      <c r="J46" s="10" t="s">
        <v>389</v>
      </c>
      <c r="K46" s="13" t="s">
        <v>863</v>
      </c>
      <c r="L46" s="11" t="s">
        <v>864</v>
      </c>
      <c r="M46" s="11" t="s">
        <v>865</v>
      </c>
      <c r="N46" s="13" t="s">
        <v>866</v>
      </c>
    </row>
    <row r="47" spans="1:14" ht="264">
      <c r="A47" s="8">
        <v>46</v>
      </c>
      <c r="B47" s="9" t="s">
        <v>50</v>
      </c>
      <c r="C47" s="10" t="s">
        <v>867</v>
      </c>
      <c r="D47" s="11" t="s">
        <v>868</v>
      </c>
      <c r="E47" s="9" t="s">
        <v>222</v>
      </c>
      <c r="F47" s="9" t="s">
        <v>349</v>
      </c>
      <c r="G47" s="13" t="s">
        <v>869</v>
      </c>
      <c r="H47" s="11" t="s">
        <v>870</v>
      </c>
      <c r="I47" s="11" t="s">
        <v>871</v>
      </c>
      <c r="J47" s="10" t="s">
        <v>400</v>
      </c>
      <c r="K47" s="13" t="s">
        <v>658</v>
      </c>
      <c r="L47" s="11" t="s">
        <v>872</v>
      </c>
      <c r="M47" s="11" t="s">
        <v>873</v>
      </c>
      <c r="N47" s="13" t="s">
        <v>874</v>
      </c>
    </row>
    <row r="48" spans="1:14" ht="237.6">
      <c r="A48" s="8">
        <v>47</v>
      </c>
      <c r="B48" s="9" t="s">
        <v>50</v>
      </c>
      <c r="C48" s="10" t="s">
        <v>875</v>
      </c>
      <c r="D48" s="11" t="s">
        <v>876</v>
      </c>
      <c r="E48" s="9" t="s">
        <v>239</v>
      </c>
      <c r="F48" s="9" t="s">
        <v>333</v>
      </c>
      <c r="G48" s="13" t="s">
        <v>877</v>
      </c>
      <c r="H48" s="11" t="s">
        <v>878</v>
      </c>
      <c r="I48" s="11" t="s">
        <v>879</v>
      </c>
      <c r="J48" s="9" t="s">
        <v>50</v>
      </c>
      <c r="K48" s="13" t="s">
        <v>880</v>
      </c>
      <c r="L48" s="11" t="s">
        <v>881</v>
      </c>
      <c r="M48" s="11" t="s">
        <v>882</v>
      </c>
      <c r="N48" s="13" t="s">
        <v>883</v>
      </c>
    </row>
    <row r="49" spans="1:14" ht="237.6">
      <c r="A49" s="8">
        <v>48</v>
      </c>
      <c r="B49" s="9" t="s">
        <v>51</v>
      </c>
      <c r="C49" s="10" t="s">
        <v>875</v>
      </c>
      <c r="D49" s="11" t="s">
        <v>876</v>
      </c>
      <c r="E49" s="9" t="s">
        <v>239</v>
      </c>
      <c r="F49" s="9" t="s">
        <v>333</v>
      </c>
      <c r="G49" s="13" t="s">
        <v>877</v>
      </c>
      <c r="H49" s="11" t="s">
        <v>878</v>
      </c>
      <c r="I49" s="11" t="s">
        <v>879</v>
      </c>
      <c r="J49" s="9" t="s">
        <v>51</v>
      </c>
      <c r="K49" s="13" t="s">
        <v>880</v>
      </c>
      <c r="L49" s="11" t="s">
        <v>881</v>
      </c>
      <c r="M49" s="11" t="s">
        <v>882</v>
      </c>
      <c r="N49" s="13" t="s">
        <v>883</v>
      </c>
    </row>
    <row r="50" spans="1:14" ht="237.6">
      <c r="A50" s="8">
        <v>49</v>
      </c>
      <c r="B50" s="9" t="s">
        <v>52</v>
      </c>
      <c r="C50" s="10" t="s">
        <v>884</v>
      </c>
      <c r="D50" s="11" t="s">
        <v>885</v>
      </c>
      <c r="E50" s="9" t="s">
        <v>225</v>
      </c>
      <c r="F50" s="9" t="s">
        <v>350</v>
      </c>
      <c r="G50" s="13" t="s">
        <v>886</v>
      </c>
      <c r="H50" s="11" t="s">
        <v>887</v>
      </c>
      <c r="I50" s="11" t="s">
        <v>888</v>
      </c>
      <c r="J50" s="10" t="s">
        <v>401</v>
      </c>
      <c r="K50" s="13" t="s">
        <v>889</v>
      </c>
      <c r="L50" s="11" t="s">
        <v>787</v>
      </c>
      <c r="M50" s="11" t="s">
        <v>890</v>
      </c>
      <c r="N50" s="13" t="s">
        <v>891</v>
      </c>
    </row>
    <row r="51" spans="1:14" ht="237.6">
      <c r="A51" s="8">
        <v>50</v>
      </c>
      <c r="B51" s="9" t="s">
        <v>53</v>
      </c>
      <c r="C51" s="10" t="s">
        <v>892</v>
      </c>
      <c r="D51" s="11" t="s">
        <v>893</v>
      </c>
      <c r="E51" s="9" t="s">
        <v>222</v>
      </c>
      <c r="F51" s="9" t="s">
        <v>351</v>
      </c>
      <c r="G51" s="13" t="s">
        <v>894</v>
      </c>
      <c r="H51" s="11" t="s">
        <v>895</v>
      </c>
      <c r="I51" s="11" t="s">
        <v>896</v>
      </c>
      <c r="J51" s="10" t="s">
        <v>376</v>
      </c>
      <c r="K51" s="13" t="s">
        <v>897</v>
      </c>
      <c r="L51" s="11" t="s">
        <v>898</v>
      </c>
      <c r="M51" s="11" t="s">
        <v>899</v>
      </c>
      <c r="N51" s="13" t="s">
        <v>900</v>
      </c>
    </row>
    <row r="52" spans="1:14" ht="250.8">
      <c r="A52" s="8">
        <v>51</v>
      </c>
      <c r="B52" s="9" t="s">
        <v>54</v>
      </c>
      <c r="C52" s="10" t="s">
        <v>901</v>
      </c>
      <c r="D52" s="11" t="s">
        <v>902</v>
      </c>
      <c r="E52" s="9" t="s">
        <v>241</v>
      </c>
      <c r="F52" s="15" t="s">
        <v>355</v>
      </c>
      <c r="G52" s="13" t="s">
        <v>903</v>
      </c>
      <c r="H52" s="11" t="s">
        <v>904</v>
      </c>
      <c r="I52" s="11" t="s">
        <v>905</v>
      </c>
      <c r="J52" s="10" t="s">
        <v>402</v>
      </c>
      <c r="K52" s="13" t="s">
        <v>658</v>
      </c>
      <c r="L52" s="11" t="s">
        <v>906</v>
      </c>
      <c r="M52" s="11" t="s">
        <v>907</v>
      </c>
      <c r="N52" s="13" t="s">
        <v>908</v>
      </c>
    </row>
    <row r="53" spans="1:14" ht="237.6">
      <c r="A53" s="8">
        <v>52</v>
      </c>
      <c r="B53" s="9" t="s">
        <v>55</v>
      </c>
      <c r="C53" s="10" t="s">
        <v>909</v>
      </c>
      <c r="D53" s="11" t="s">
        <v>910</v>
      </c>
      <c r="E53" s="9" t="s">
        <v>222</v>
      </c>
      <c r="F53" s="9" t="s">
        <v>352</v>
      </c>
      <c r="G53" s="13" t="s">
        <v>911</v>
      </c>
      <c r="H53" s="11" t="s">
        <v>912</v>
      </c>
      <c r="I53" s="11" t="s">
        <v>913</v>
      </c>
      <c r="J53" s="10" t="s">
        <v>403</v>
      </c>
      <c r="K53" s="13" t="s">
        <v>914</v>
      </c>
      <c r="L53" s="11" t="s">
        <v>915</v>
      </c>
      <c r="M53" s="11" t="s">
        <v>916</v>
      </c>
      <c r="N53" s="13" t="s">
        <v>917</v>
      </c>
    </row>
    <row r="54" spans="1:14" ht="250.8">
      <c r="A54" s="8">
        <v>53</v>
      </c>
      <c r="B54" s="9" t="s">
        <v>56</v>
      </c>
      <c r="C54" s="10" t="s">
        <v>918</v>
      </c>
      <c r="D54" s="11" t="s">
        <v>919</v>
      </c>
      <c r="E54" s="9" t="s">
        <v>225</v>
      </c>
      <c r="F54" s="9" t="s">
        <v>332</v>
      </c>
      <c r="G54" s="13" t="s">
        <v>920</v>
      </c>
      <c r="H54" s="11" t="s">
        <v>921</v>
      </c>
      <c r="I54" s="11" t="s">
        <v>922</v>
      </c>
      <c r="J54" s="10" t="s">
        <v>404</v>
      </c>
      <c r="K54" s="13" t="s">
        <v>923</v>
      </c>
      <c r="L54" s="11" t="s">
        <v>924</v>
      </c>
      <c r="M54" s="11" t="s">
        <v>925</v>
      </c>
      <c r="N54" s="13" t="s">
        <v>926</v>
      </c>
    </row>
    <row r="55" spans="1:14" ht="211.2">
      <c r="A55" s="8">
        <v>54</v>
      </c>
      <c r="B55" s="9" t="s">
        <v>57</v>
      </c>
      <c r="C55" s="10" t="s">
        <v>927</v>
      </c>
      <c r="D55" s="11" t="s">
        <v>928</v>
      </c>
      <c r="E55" s="9" t="s">
        <v>242</v>
      </c>
      <c r="F55" s="9" t="s">
        <v>342</v>
      </c>
      <c r="G55" s="13" t="s">
        <v>929</v>
      </c>
      <c r="H55" s="11" t="s">
        <v>930</v>
      </c>
      <c r="I55" s="11" t="s">
        <v>931</v>
      </c>
      <c r="J55" s="10" t="s">
        <v>389</v>
      </c>
      <c r="K55" s="13" t="s">
        <v>932</v>
      </c>
      <c r="L55" s="11" t="s">
        <v>881</v>
      </c>
      <c r="M55" s="11" t="s">
        <v>933</v>
      </c>
      <c r="N55" s="13" t="s">
        <v>934</v>
      </c>
    </row>
    <row r="56" spans="1:14" ht="224.4">
      <c r="A56" s="8">
        <v>55</v>
      </c>
      <c r="B56" s="9" t="s">
        <v>58</v>
      </c>
      <c r="C56" s="10" t="s">
        <v>935</v>
      </c>
      <c r="D56" s="11" t="s">
        <v>936</v>
      </c>
      <c r="E56" s="9" t="s">
        <v>225</v>
      </c>
      <c r="F56" s="9" t="s">
        <v>340</v>
      </c>
      <c r="G56" s="13" t="s">
        <v>937</v>
      </c>
      <c r="H56" s="11" t="s">
        <v>938</v>
      </c>
      <c r="I56" s="11" t="s">
        <v>939</v>
      </c>
      <c r="J56" s="10" t="s">
        <v>405</v>
      </c>
      <c r="K56" s="13" t="s">
        <v>658</v>
      </c>
      <c r="L56" s="11" t="s">
        <v>940</v>
      </c>
      <c r="M56" s="11" t="s">
        <v>941</v>
      </c>
      <c r="N56" s="13" t="s">
        <v>942</v>
      </c>
    </row>
    <row r="57" spans="1:14" ht="250.8">
      <c r="A57" s="8">
        <v>56</v>
      </c>
      <c r="B57" s="9" t="s">
        <v>59</v>
      </c>
      <c r="C57" s="10" t="s">
        <v>943</v>
      </c>
      <c r="D57" s="11" t="s">
        <v>944</v>
      </c>
      <c r="E57" s="9" t="s">
        <v>243</v>
      </c>
      <c r="F57" s="9" t="s">
        <v>353</v>
      </c>
      <c r="G57" s="13" t="s">
        <v>945</v>
      </c>
      <c r="H57" s="11" t="s">
        <v>946</v>
      </c>
      <c r="I57" s="11" t="s">
        <v>947</v>
      </c>
      <c r="J57" s="10" t="s">
        <v>389</v>
      </c>
      <c r="K57" s="13" t="s">
        <v>948</v>
      </c>
      <c r="L57" s="11" t="s">
        <v>949</v>
      </c>
      <c r="M57" s="11" t="s">
        <v>950</v>
      </c>
      <c r="N57" s="13" t="s">
        <v>951</v>
      </c>
    </row>
    <row r="58" spans="1:14" ht="237.6">
      <c r="A58" s="8">
        <v>57</v>
      </c>
      <c r="B58" s="9" t="s">
        <v>60</v>
      </c>
      <c r="C58" s="10" t="s">
        <v>952</v>
      </c>
      <c r="D58" s="11" t="s">
        <v>953</v>
      </c>
      <c r="E58" s="9" t="s">
        <v>244</v>
      </c>
      <c r="F58" s="9" t="s">
        <v>328</v>
      </c>
      <c r="G58" s="13" t="s">
        <v>954</v>
      </c>
      <c r="H58" s="11" t="s">
        <v>955</v>
      </c>
      <c r="I58" s="11" t="s">
        <v>956</v>
      </c>
      <c r="J58" s="10" t="s">
        <v>399</v>
      </c>
      <c r="K58" s="13" t="s">
        <v>957</v>
      </c>
      <c r="L58" s="11" t="s">
        <v>958</v>
      </c>
      <c r="M58" s="11" t="s">
        <v>959</v>
      </c>
      <c r="N58" s="13" t="s">
        <v>960</v>
      </c>
    </row>
    <row r="59" spans="1:14" ht="237.6">
      <c r="A59" s="8">
        <v>58</v>
      </c>
      <c r="B59" s="17" t="s">
        <v>61</v>
      </c>
      <c r="C59" s="18" t="s">
        <v>961</v>
      </c>
      <c r="D59" s="11" t="s">
        <v>962</v>
      </c>
      <c r="E59" s="9" t="s">
        <v>222</v>
      </c>
      <c r="F59" s="9" t="s">
        <v>329</v>
      </c>
      <c r="G59" s="13" t="s">
        <v>963</v>
      </c>
      <c r="H59" s="11" t="s">
        <v>964</v>
      </c>
      <c r="I59" s="11" t="s">
        <v>965</v>
      </c>
      <c r="J59" s="10" t="s">
        <v>406</v>
      </c>
      <c r="K59" s="13" t="s">
        <v>966</v>
      </c>
      <c r="L59" s="11" t="s">
        <v>967</v>
      </c>
      <c r="M59" s="11" t="s">
        <v>968</v>
      </c>
      <c r="N59" s="13" t="s">
        <v>969</v>
      </c>
    </row>
    <row r="60" spans="1:14" ht="250.8">
      <c r="A60" s="8">
        <v>59</v>
      </c>
      <c r="B60" s="9" t="s">
        <v>62</v>
      </c>
      <c r="C60" s="10" t="s">
        <v>970</v>
      </c>
      <c r="D60" s="11" t="s">
        <v>971</v>
      </c>
      <c r="E60" s="9" t="s">
        <v>225</v>
      </c>
      <c r="F60" s="9" t="s">
        <v>354</v>
      </c>
      <c r="G60" s="13" t="s">
        <v>972</v>
      </c>
      <c r="H60" s="11" t="s">
        <v>973</v>
      </c>
      <c r="I60" s="11" t="s">
        <v>974</v>
      </c>
      <c r="J60" s="10" t="s">
        <v>407</v>
      </c>
      <c r="K60" s="13" t="s">
        <v>975</v>
      </c>
      <c r="L60" s="11" t="s">
        <v>976</v>
      </c>
      <c r="M60" s="11" t="s">
        <v>977</v>
      </c>
      <c r="N60" s="13" t="s">
        <v>978</v>
      </c>
    </row>
    <row r="61" spans="1:14" ht="250.8">
      <c r="A61" s="8">
        <v>60</v>
      </c>
      <c r="B61" s="9" t="s">
        <v>62</v>
      </c>
      <c r="C61" s="10" t="s">
        <v>970</v>
      </c>
      <c r="D61" s="11" t="s">
        <v>971</v>
      </c>
      <c r="E61" s="9" t="s">
        <v>245</v>
      </c>
      <c r="F61" s="9" t="s">
        <v>351</v>
      </c>
      <c r="G61" s="13" t="s">
        <v>972</v>
      </c>
      <c r="H61" s="11" t="s">
        <v>973</v>
      </c>
      <c r="I61" s="11" t="s">
        <v>974</v>
      </c>
      <c r="J61" s="10" t="s">
        <v>389</v>
      </c>
      <c r="K61" s="13" t="s">
        <v>975</v>
      </c>
      <c r="L61" s="11" t="s">
        <v>976</v>
      </c>
      <c r="M61" s="11" t="s">
        <v>977</v>
      </c>
      <c r="N61" s="13" t="s">
        <v>978</v>
      </c>
    </row>
    <row r="62" spans="1:14" ht="250.8">
      <c r="A62" s="8">
        <v>61</v>
      </c>
      <c r="B62" s="9" t="s">
        <v>63</v>
      </c>
      <c r="C62" s="10" t="s">
        <v>970</v>
      </c>
      <c r="D62" s="11" t="s">
        <v>971</v>
      </c>
      <c r="E62" s="9" t="s">
        <v>246</v>
      </c>
      <c r="F62" s="9" t="s">
        <v>351</v>
      </c>
      <c r="G62" s="13" t="s">
        <v>972</v>
      </c>
      <c r="H62" s="11" t="s">
        <v>973</v>
      </c>
      <c r="I62" s="11" t="s">
        <v>974</v>
      </c>
      <c r="J62" s="10" t="s">
        <v>408</v>
      </c>
      <c r="K62" s="13" t="s">
        <v>975</v>
      </c>
      <c r="L62" s="11" t="s">
        <v>976</v>
      </c>
      <c r="M62" s="11" t="s">
        <v>977</v>
      </c>
      <c r="N62" s="13" t="s">
        <v>978</v>
      </c>
    </row>
    <row r="63" spans="1:14" ht="250.8">
      <c r="A63" s="8">
        <v>62</v>
      </c>
      <c r="B63" s="9" t="s">
        <v>64</v>
      </c>
      <c r="C63" s="10" t="s">
        <v>970</v>
      </c>
      <c r="D63" s="11" t="s">
        <v>971</v>
      </c>
      <c r="E63" s="9" t="s">
        <v>247</v>
      </c>
      <c r="F63" s="9" t="s">
        <v>351</v>
      </c>
      <c r="G63" s="13" t="s">
        <v>972</v>
      </c>
      <c r="H63" s="11" t="s">
        <v>973</v>
      </c>
      <c r="I63" s="11" t="s">
        <v>974</v>
      </c>
      <c r="J63" s="10" t="s">
        <v>408</v>
      </c>
      <c r="K63" s="13" t="s">
        <v>975</v>
      </c>
      <c r="L63" s="11" t="s">
        <v>976</v>
      </c>
      <c r="M63" s="11" t="s">
        <v>977</v>
      </c>
      <c r="N63" s="13" t="s">
        <v>978</v>
      </c>
    </row>
    <row r="64" spans="1:14" ht="224.4">
      <c r="A64" s="8">
        <v>63</v>
      </c>
      <c r="B64" s="9" t="s">
        <v>65</v>
      </c>
      <c r="C64" s="10" t="s">
        <v>979</v>
      </c>
      <c r="D64" s="11" t="s">
        <v>980</v>
      </c>
      <c r="E64" s="9" t="s">
        <v>248</v>
      </c>
      <c r="F64" s="9" t="s">
        <v>329</v>
      </c>
      <c r="G64" s="13" t="s">
        <v>981</v>
      </c>
      <c r="H64" s="11" t="s">
        <v>982</v>
      </c>
      <c r="I64" s="11" t="s">
        <v>983</v>
      </c>
      <c r="J64" s="10" t="s">
        <v>409</v>
      </c>
      <c r="K64" s="13" t="s">
        <v>984</v>
      </c>
      <c r="L64" s="11" t="s">
        <v>985</v>
      </c>
      <c r="M64" s="11" t="s">
        <v>986</v>
      </c>
      <c r="N64" s="13" t="s">
        <v>987</v>
      </c>
    </row>
    <row r="65" spans="1:14" ht="264">
      <c r="A65" s="8">
        <v>64</v>
      </c>
      <c r="B65" s="9" t="s">
        <v>66</v>
      </c>
      <c r="C65" s="10" t="s">
        <v>988</v>
      </c>
      <c r="D65" s="11" t="s">
        <v>989</v>
      </c>
      <c r="E65" s="9" t="s">
        <v>222</v>
      </c>
      <c r="F65" s="9" t="s">
        <v>355</v>
      </c>
      <c r="G65" s="13" t="s">
        <v>990</v>
      </c>
      <c r="H65" s="11" t="s">
        <v>991</v>
      </c>
      <c r="I65" s="11" t="s">
        <v>947</v>
      </c>
      <c r="J65" s="10" t="s">
        <v>410</v>
      </c>
      <c r="K65" s="13" t="s">
        <v>992</v>
      </c>
      <c r="L65" s="11" t="s">
        <v>993</v>
      </c>
      <c r="M65" s="11" t="s">
        <v>994</v>
      </c>
      <c r="N65" s="13" t="s">
        <v>995</v>
      </c>
    </row>
    <row r="66" spans="1:14" ht="250.8">
      <c r="A66" s="8">
        <v>65</v>
      </c>
      <c r="B66" s="9" t="s">
        <v>67</v>
      </c>
      <c r="C66" s="10" t="s">
        <v>996</v>
      </c>
      <c r="D66" s="11" t="s">
        <v>997</v>
      </c>
      <c r="E66" s="9" t="s">
        <v>222</v>
      </c>
      <c r="F66" s="9" t="s">
        <v>329</v>
      </c>
      <c r="G66" s="13" t="s">
        <v>998</v>
      </c>
      <c r="H66" s="11" t="s">
        <v>999</v>
      </c>
      <c r="I66" s="11" t="s">
        <v>1000</v>
      </c>
      <c r="J66" s="10" t="s">
        <v>411</v>
      </c>
      <c r="K66" s="13" t="s">
        <v>1001</v>
      </c>
      <c r="L66" s="11" t="s">
        <v>881</v>
      </c>
      <c r="M66" s="11" t="s">
        <v>1002</v>
      </c>
      <c r="N66" s="13" t="s">
        <v>1003</v>
      </c>
    </row>
    <row r="67" spans="1:14" ht="237.6">
      <c r="A67" s="8">
        <v>66</v>
      </c>
      <c r="B67" s="9" t="s">
        <v>68</v>
      </c>
      <c r="C67" s="10" t="s">
        <v>1004</v>
      </c>
      <c r="D67" s="11" t="s">
        <v>1005</v>
      </c>
      <c r="E67" s="9" t="s">
        <v>249</v>
      </c>
      <c r="F67" s="9" t="s">
        <v>328</v>
      </c>
      <c r="G67" s="13" t="s">
        <v>1006</v>
      </c>
      <c r="H67" s="11" t="s">
        <v>1007</v>
      </c>
      <c r="I67" s="11" t="s">
        <v>1008</v>
      </c>
      <c r="J67" s="10" t="s">
        <v>399</v>
      </c>
      <c r="K67" s="13" t="s">
        <v>1009</v>
      </c>
      <c r="L67" s="11" t="s">
        <v>1010</v>
      </c>
      <c r="M67" s="11" t="s">
        <v>1011</v>
      </c>
      <c r="N67" s="13" t="s">
        <v>1012</v>
      </c>
    </row>
    <row r="68" spans="1:14" ht="264">
      <c r="A68" s="8">
        <v>67</v>
      </c>
      <c r="B68" s="9" t="s">
        <v>69</v>
      </c>
      <c r="C68" s="10" t="s">
        <v>1013</v>
      </c>
      <c r="D68" s="11" t="s">
        <v>1014</v>
      </c>
      <c r="E68" s="9" t="s">
        <v>250</v>
      </c>
      <c r="F68" s="9" t="s">
        <v>335</v>
      </c>
      <c r="G68" s="13" t="s">
        <v>1015</v>
      </c>
      <c r="H68" s="11" t="s">
        <v>1016</v>
      </c>
      <c r="I68" s="11" t="s">
        <v>1017</v>
      </c>
      <c r="J68" s="10" t="s">
        <v>412</v>
      </c>
      <c r="K68" s="13" t="s">
        <v>1018</v>
      </c>
      <c r="L68" s="11" t="s">
        <v>1019</v>
      </c>
      <c r="M68" s="11" t="s">
        <v>1020</v>
      </c>
      <c r="N68" s="13" t="s">
        <v>1021</v>
      </c>
    </row>
    <row r="69" spans="1:14" ht="250.8">
      <c r="A69" s="8">
        <v>68</v>
      </c>
      <c r="B69" s="9" t="s">
        <v>70</v>
      </c>
      <c r="C69" s="10" t="s">
        <v>1022</v>
      </c>
      <c r="D69" s="11" t="s">
        <v>1023</v>
      </c>
      <c r="E69" s="9" t="s">
        <v>225</v>
      </c>
      <c r="F69" s="9" t="s">
        <v>335</v>
      </c>
      <c r="G69" s="13" t="s">
        <v>1024</v>
      </c>
      <c r="H69" s="11" t="s">
        <v>1025</v>
      </c>
      <c r="I69" s="11" t="s">
        <v>1026</v>
      </c>
      <c r="J69" s="10" t="s">
        <v>413</v>
      </c>
      <c r="K69" s="13" t="s">
        <v>1027</v>
      </c>
      <c r="L69" s="11" t="s">
        <v>1028</v>
      </c>
      <c r="M69" s="11" t="s">
        <v>1029</v>
      </c>
      <c r="N69" s="13" t="s">
        <v>1030</v>
      </c>
    </row>
    <row r="70" spans="1:14" ht="250.8">
      <c r="A70" s="8">
        <v>69</v>
      </c>
      <c r="B70" s="9" t="s">
        <v>71</v>
      </c>
      <c r="C70" s="10" t="s">
        <v>1031</v>
      </c>
      <c r="D70" s="11" t="s">
        <v>1032</v>
      </c>
      <c r="E70" s="9" t="s">
        <v>234</v>
      </c>
      <c r="F70" s="9" t="s">
        <v>335</v>
      </c>
      <c r="G70" s="13" t="s">
        <v>1033</v>
      </c>
      <c r="H70" s="11" t="s">
        <v>1034</v>
      </c>
      <c r="I70" s="11" t="s">
        <v>1035</v>
      </c>
      <c r="J70" s="10" t="s">
        <v>414</v>
      </c>
      <c r="K70" s="13" t="s">
        <v>1036</v>
      </c>
      <c r="L70" s="11" t="s">
        <v>1037</v>
      </c>
      <c r="M70" s="11" t="s">
        <v>1038</v>
      </c>
      <c r="N70" s="13" t="s">
        <v>1039</v>
      </c>
    </row>
    <row r="71" spans="1:14" ht="289.8">
      <c r="A71" s="8">
        <v>70</v>
      </c>
      <c r="B71" s="19" t="s">
        <v>1040</v>
      </c>
      <c r="C71" s="19" t="s">
        <v>1041</v>
      </c>
      <c r="D71" s="11" t="s">
        <v>1042</v>
      </c>
      <c r="E71" s="19" t="s">
        <v>251</v>
      </c>
      <c r="F71" s="19" t="s">
        <v>331</v>
      </c>
      <c r="G71" s="13" t="s">
        <v>1043</v>
      </c>
      <c r="H71" s="11" t="s">
        <v>1044</v>
      </c>
      <c r="I71" s="11" t="s">
        <v>1045</v>
      </c>
      <c r="J71" s="19" t="s">
        <v>415</v>
      </c>
      <c r="K71" s="13" t="s">
        <v>1046</v>
      </c>
      <c r="L71" s="11" t="s">
        <v>1047</v>
      </c>
      <c r="M71" s="11" t="s">
        <v>1048</v>
      </c>
      <c r="N71" s="13" t="s">
        <v>1049</v>
      </c>
    </row>
    <row r="72" spans="1:14" ht="244.8">
      <c r="A72" s="8">
        <v>71</v>
      </c>
      <c r="B72" s="10" t="s">
        <v>72</v>
      </c>
      <c r="C72" s="11" t="s">
        <v>1050</v>
      </c>
      <c r="D72" s="11" t="s">
        <v>1051</v>
      </c>
      <c r="E72" s="10" t="s">
        <v>222</v>
      </c>
      <c r="F72" s="10" t="s">
        <v>331</v>
      </c>
      <c r="G72" s="11" t="s">
        <v>1052</v>
      </c>
      <c r="H72" s="11" t="s">
        <v>1053</v>
      </c>
      <c r="I72" s="11" t="s">
        <v>1054</v>
      </c>
      <c r="J72" s="10" t="s">
        <v>376</v>
      </c>
      <c r="K72" s="13" t="s">
        <v>1055</v>
      </c>
      <c r="L72" s="11">
        <v>2249150800</v>
      </c>
      <c r="M72" s="11" t="s">
        <v>1056</v>
      </c>
      <c r="N72" s="11" t="s">
        <v>1057</v>
      </c>
    </row>
    <row r="73" spans="1:14" ht="244.8">
      <c r="A73" s="8">
        <v>72</v>
      </c>
      <c r="B73" s="10" t="s">
        <v>73</v>
      </c>
      <c r="C73" s="11" t="s">
        <v>1058</v>
      </c>
      <c r="D73" s="11" t="s">
        <v>1059</v>
      </c>
      <c r="E73" s="10" t="s">
        <v>225</v>
      </c>
      <c r="F73" s="10" t="s">
        <v>337</v>
      </c>
      <c r="G73" s="13" t="s">
        <v>1060</v>
      </c>
      <c r="H73" s="11" t="s">
        <v>1061</v>
      </c>
      <c r="I73" s="11" t="s">
        <v>1062</v>
      </c>
      <c r="J73" s="10" t="s">
        <v>416</v>
      </c>
      <c r="K73" s="13" t="s">
        <v>1063</v>
      </c>
      <c r="L73" s="11">
        <v>18005729877</v>
      </c>
      <c r="M73" s="11" t="s">
        <v>1064</v>
      </c>
      <c r="N73" s="11" t="s">
        <v>1065</v>
      </c>
    </row>
    <row r="74" spans="1:14" ht="273.60000000000002">
      <c r="A74" s="8">
        <v>73</v>
      </c>
      <c r="B74" s="10" t="s">
        <v>74</v>
      </c>
      <c r="C74" s="11" t="s">
        <v>1066</v>
      </c>
      <c r="D74" s="11" t="s">
        <v>1067</v>
      </c>
      <c r="E74" s="10" t="s">
        <v>225</v>
      </c>
      <c r="F74" s="10" t="s">
        <v>329</v>
      </c>
      <c r="G74" s="11" t="s">
        <v>1068</v>
      </c>
      <c r="H74" s="11" t="s">
        <v>1069</v>
      </c>
      <c r="I74" s="11" t="s">
        <v>1070</v>
      </c>
      <c r="J74" s="10" t="s">
        <v>417</v>
      </c>
      <c r="K74" s="13" t="s">
        <v>1071</v>
      </c>
      <c r="L74" s="20" t="s">
        <v>1072</v>
      </c>
      <c r="M74" s="11" t="s">
        <v>1073</v>
      </c>
      <c r="N74" s="11" t="s">
        <v>1074</v>
      </c>
    </row>
    <row r="75" spans="1:14" ht="273.60000000000002">
      <c r="A75" s="8">
        <v>74</v>
      </c>
      <c r="B75" s="10" t="s">
        <v>75</v>
      </c>
      <c r="C75" s="10" t="s">
        <v>1075</v>
      </c>
      <c r="D75" s="11" t="s">
        <v>1076</v>
      </c>
      <c r="E75" s="10" t="s">
        <v>222</v>
      </c>
      <c r="F75" s="10" t="s">
        <v>347</v>
      </c>
      <c r="G75" s="13" t="s">
        <v>1077</v>
      </c>
      <c r="H75" s="11" t="s">
        <v>1078</v>
      </c>
      <c r="I75" s="11" t="s">
        <v>1079</v>
      </c>
      <c r="J75" s="10" t="s">
        <v>376</v>
      </c>
      <c r="K75" s="13" t="s">
        <v>1080</v>
      </c>
      <c r="L75" s="11" t="s">
        <v>1081</v>
      </c>
      <c r="M75" s="11" t="s">
        <v>1082</v>
      </c>
      <c r="N75" s="11" t="s">
        <v>1083</v>
      </c>
    </row>
    <row r="76" spans="1:14" ht="259.2">
      <c r="A76" s="8">
        <v>75</v>
      </c>
      <c r="B76" s="10" t="s">
        <v>76</v>
      </c>
      <c r="C76" s="10" t="s">
        <v>1084</v>
      </c>
      <c r="D76" s="11" t="s">
        <v>1085</v>
      </c>
      <c r="E76" s="10" t="s">
        <v>222</v>
      </c>
      <c r="F76" s="10" t="s">
        <v>328</v>
      </c>
      <c r="G76" s="13" t="s">
        <v>1086</v>
      </c>
      <c r="H76" s="11" t="s">
        <v>1087</v>
      </c>
      <c r="I76" s="11" t="s">
        <v>1088</v>
      </c>
      <c r="J76" s="10" t="s">
        <v>418</v>
      </c>
      <c r="K76" s="13" t="s">
        <v>1089</v>
      </c>
      <c r="L76" s="11" t="s">
        <v>1090</v>
      </c>
      <c r="M76" s="11" t="s">
        <v>1091</v>
      </c>
      <c r="N76" s="11" t="s">
        <v>1092</v>
      </c>
    </row>
    <row r="77" spans="1:14" ht="288">
      <c r="A77" s="8">
        <v>76</v>
      </c>
      <c r="B77" s="10" t="s">
        <v>1093</v>
      </c>
      <c r="C77" s="11" t="s">
        <v>1094</v>
      </c>
      <c r="D77" s="11" t="s">
        <v>1095</v>
      </c>
      <c r="E77" s="10" t="s">
        <v>252</v>
      </c>
      <c r="F77" s="10" t="s">
        <v>332</v>
      </c>
      <c r="G77" s="13" t="s">
        <v>1096</v>
      </c>
      <c r="H77" s="11" t="s">
        <v>1097</v>
      </c>
      <c r="I77" s="11" t="s">
        <v>1098</v>
      </c>
      <c r="J77" s="10" t="s">
        <v>419</v>
      </c>
      <c r="K77" s="13" t="s">
        <v>1099</v>
      </c>
      <c r="L77" s="11" t="s">
        <v>1100</v>
      </c>
      <c r="M77" s="11" t="s">
        <v>1101</v>
      </c>
      <c r="N77" s="13" t="s">
        <v>1102</v>
      </c>
    </row>
    <row r="78" spans="1:14" ht="244.8">
      <c r="A78" s="8">
        <v>77</v>
      </c>
      <c r="B78" s="10" t="s">
        <v>77</v>
      </c>
      <c r="C78" s="10" t="s">
        <v>1103</v>
      </c>
      <c r="D78" s="11" t="s">
        <v>1104</v>
      </c>
      <c r="E78" s="10" t="s">
        <v>222</v>
      </c>
      <c r="F78" s="10" t="s">
        <v>332</v>
      </c>
      <c r="G78" s="13" t="s">
        <v>1105</v>
      </c>
      <c r="H78" s="11" t="s">
        <v>1106</v>
      </c>
      <c r="I78" s="11" t="s">
        <v>1107</v>
      </c>
      <c r="J78" s="10" t="s">
        <v>376</v>
      </c>
      <c r="K78" s="13" t="s">
        <v>1108</v>
      </c>
      <c r="L78" s="13" t="s">
        <v>1109</v>
      </c>
      <c r="M78" s="11" t="s">
        <v>1110</v>
      </c>
      <c r="N78" s="13" t="s">
        <v>1111</v>
      </c>
    </row>
    <row r="79" spans="1:14" ht="288">
      <c r="A79" s="8">
        <v>78</v>
      </c>
      <c r="B79" s="10" t="s">
        <v>78</v>
      </c>
      <c r="C79" s="10" t="s">
        <v>1112</v>
      </c>
      <c r="D79" s="11" t="s">
        <v>1113</v>
      </c>
      <c r="E79" s="10" t="s">
        <v>222</v>
      </c>
      <c r="F79" s="10" t="s">
        <v>332</v>
      </c>
      <c r="G79" s="13" t="s">
        <v>1114</v>
      </c>
      <c r="H79" s="11" t="s">
        <v>1115</v>
      </c>
      <c r="I79" s="11" t="s">
        <v>1116</v>
      </c>
      <c r="J79" s="10" t="s">
        <v>373</v>
      </c>
      <c r="K79" s="13" t="s">
        <v>1117</v>
      </c>
      <c r="L79" s="13" t="s">
        <v>1118</v>
      </c>
      <c r="M79" s="11" t="s">
        <v>1119</v>
      </c>
      <c r="N79" s="13" t="s">
        <v>1118</v>
      </c>
    </row>
    <row r="80" spans="1:14" ht="250.8">
      <c r="A80" s="8">
        <v>79</v>
      </c>
      <c r="B80" s="10" t="s">
        <v>79</v>
      </c>
      <c r="C80" s="10" t="s">
        <v>1120</v>
      </c>
      <c r="D80" s="11" t="s">
        <v>1121</v>
      </c>
      <c r="E80" s="10" t="s">
        <v>235</v>
      </c>
      <c r="F80" s="10" t="s">
        <v>333</v>
      </c>
      <c r="G80" s="13" t="s">
        <v>1122</v>
      </c>
      <c r="H80" s="11" t="s">
        <v>1123</v>
      </c>
      <c r="I80" s="11" t="s">
        <v>1124</v>
      </c>
      <c r="J80" s="11" t="s">
        <v>373</v>
      </c>
      <c r="K80" s="13" t="s">
        <v>1125</v>
      </c>
      <c r="L80" s="11" t="s">
        <v>1126</v>
      </c>
      <c r="M80" s="11" t="s">
        <v>1127</v>
      </c>
      <c r="N80" s="11" t="s">
        <v>1128</v>
      </c>
    </row>
    <row r="81" spans="1:14" ht="259.2">
      <c r="A81" s="8">
        <v>80</v>
      </c>
      <c r="B81" s="10" t="s">
        <v>80</v>
      </c>
      <c r="C81" s="10" t="s">
        <v>1129</v>
      </c>
      <c r="D81" s="11" t="s">
        <v>1130</v>
      </c>
      <c r="E81" s="10" t="s">
        <v>225</v>
      </c>
      <c r="F81" s="10" t="s">
        <v>345</v>
      </c>
      <c r="G81" s="13" t="s">
        <v>1131</v>
      </c>
      <c r="H81" s="11" t="s">
        <v>1132</v>
      </c>
      <c r="I81" s="11" t="s">
        <v>1133</v>
      </c>
      <c r="J81" s="10" t="s">
        <v>420</v>
      </c>
      <c r="K81" s="13" t="s">
        <v>1134</v>
      </c>
      <c r="L81" s="11" t="s">
        <v>1135</v>
      </c>
      <c r="M81" s="11" t="s">
        <v>1136</v>
      </c>
      <c r="N81" s="13" t="s">
        <v>1137</v>
      </c>
    </row>
    <row r="82" spans="1:14" ht="259.2">
      <c r="A82" s="8">
        <v>81</v>
      </c>
      <c r="B82" s="10" t="s">
        <v>80</v>
      </c>
      <c r="C82" s="10" t="s">
        <v>1129</v>
      </c>
      <c r="D82" s="11" t="s">
        <v>1130</v>
      </c>
      <c r="E82" s="10" t="s">
        <v>253</v>
      </c>
      <c r="F82" s="11" t="s">
        <v>345</v>
      </c>
      <c r="G82" s="13" t="s">
        <v>1131</v>
      </c>
      <c r="H82" s="11" t="s">
        <v>1132</v>
      </c>
      <c r="I82" s="11" t="s">
        <v>1133</v>
      </c>
      <c r="J82" s="10" t="s">
        <v>80</v>
      </c>
      <c r="K82" s="13" t="s">
        <v>1134</v>
      </c>
      <c r="L82" s="11" t="s">
        <v>1135</v>
      </c>
      <c r="M82" s="11" t="s">
        <v>1138</v>
      </c>
      <c r="N82" s="13" t="s">
        <v>1137</v>
      </c>
    </row>
    <row r="83" spans="1:14" ht="273.60000000000002">
      <c r="A83" s="8">
        <v>82</v>
      </c>
      <c r="B83" s="10" t="s">
        <v>81</v>
      </c>
      <c r="C83" s="10" t="s">
        <v>1139</v>
      </c>
      <c r="D83" s="11" t="s">
        <v>1140</v>
      </c>
      <c r="E83" s="10" t="s">
        <v>239</v>
      </c>
      <c r="F83" s="10" t="s">
        <v>346</v>
      </c>
      <c r="G83" s="13" t="s">
        <v>1141</v>
      </c>
      <c r="H83" s="11" t="s">
        <v>1142</v>
      </c>
      <c r="I83" s="11" t="s">
        <v>1143</v>
      </c>
      <c r="J83" s="10" t="s">
        <v>81</v>
      </c>
      <c r="K83" s="13" t="s">
        <v>1144</v>
      </c>
      <c r="L83" s="13" t="s">
        <v>1145</v>
      </c>
      <c r="M83" s="11" t="s">
        <v>1146</v>
      </c>
      <c r="N83" s="13" t="s">
        <v>1145</v>
      </c>
    </row>
    <row r="84" spans="1:14" ht="316.8">
      <c r="A84" s="8">
        <v>83</v>
      </c>
      <c r="B84" s="10" t="s">
        <v>82</v>
      </c>
      <c r="C84" s="10" t="s">
        <v>1147</v>
      </c>
      <c r="D84" s="11" t="s">
        <v>1148</v>
      </c>
      <c r="E84" s="10" t="s">
        <v>225</v>
      </c>
      <c r="F84" s="10" t="s">
        <v>335</v>
      </c>
      <c r="G84" s="13" t="s">
        <v>1149</v>
      </c>
      <c r="H84" s="11" t="s">
        <v>1150</v>
      </c>
      <c r="I84" s="11" t="s">
        <v>1151</v>
      </c>
      <c r="J84" s="10" t="s">
        <v>421</v>
      </c>
      <c r="K84" s="13" t="s">
        <v>1152</v>
      </c>
      <c r="L84" s="10" t="s">
        <v>82</v>
      </c>
      <c r="M84" s="11" t="s">
        <v>1153</v>
      </c>
      <c r="N84" s="10" t="s">
        <v>82</v>
      </c>
    </row>
    <row r="85" spans="1:14" ht="273.60000000000002">
      <c r="A85" s="8">
        <v>84</v>
      </c>
      <c r="B85" s="10" t="s">
        <v>1154</v>
      </c>
      <c r="C85" s="10" t="s">
        <v>1155</v>
      </c>
      <c r="D85" s="11" t="s">
        <v>1156</v>
      </c>
      <c r="E85" s="10" t="s">
        <v>254</v>
      </c>
      <c r="F85" s="10" t="s">
        <v>335</v>
      </c>
      <c r="G85" s="11" t="s">
        <v>660</v>
      </c>
      <c r="H85" s="11" t="s">
        <v>1157</v>
      </c>
      <c r="I85" s="11" t="s">
        <v>1158</v>
      </c>
      <c r="J85" s="10" t="s">
        <v>422</v>
      </c>
      <c r="K85" s="11" t="s">
        <v>1159</v>
      </c>
      <c r="L85" s="11" t="s">
        <v>660</v>
      </c>
      <c r="M85" s="11" t="s">
        <v>660</v>
      </c>
      <c r="N85" s="11" t="s">
        <v>1160</v>
      </c>
    </row>
    <row r="86" spans="1:14" ht="288">
      <c r="A86" s="8">
        <v>85</v>
      </c>
      <c r="B86" s="10" t="s">
        <v>83</v>
      </c>
      <c r="C86" s="10" t="s">
        <v>1161</v>
      </c>
      <c r="D86" s="11" t="s">
        <v>1162</v>
      </c>
      <c r="E86" s="10" t="s">
        <v>235</v>
      </c>
      <c r="F86" s="10" t="s">
        <v>333</v>
      </c>
      <c r="G86" s="13" t="s">
        <v>1163</v>
      </c>
      <c r="H86" s="11" t="s">
        <v>1164</v>
      </c>
      <c r="I86" s="11" t="s">
        <v>1165</v>
      </c>
      <c r="J86" s="10" t="s">
        <v>83</v>
      </c>
      <c r="K86" s="13" t="s">
        <v>1166</v>
      </c>
      <c r="L86" s="13" t="s">
        <v>1167</v>
      </c>
      <c r="M86" s="11" t="s">
        <v>1168</v>
      </c>
      <c r="N86" s="13" t="s">
        <v>1167</v>
      </c>
    </row>
    <row r="87" spans="1:14" ht="288">
      <c r="A87" s="8">
        <v>86</v>
      </c>
      <c r="B87" s="10" t="s">
        <v>1169</v>
      </c>
      <c r="C87" s="10" t="s">
        <v>1170</v>
      </c>
      <c r="D87" s="11" t="s">
        <v>1171</v>
      </c>
      <c r="E87" s="10" t="s">
        <v>255</v>
      </c>
      <c r="F87" s="10" t="s">
        <v>1172</v>
      </c>
      <c r="G87" s="13" t="s">
        <v>1173</v>
      </c>
      <c r="H87" s="11" t="s">
        <v>1174</v>
      </c>
      <c r="I87" s="11" t="s">
        <v>1175</v>
      </c>
      <c r="J87" s="10" t="s">
        <v>1169</v>
      </c>
      <c r="K87" s="13" t="s">
        <v>1176</v>
      </c>
      <c r="L87" s="11">
        <v>9082873072</v>
      </c>
      <c r="M87" s="11" t="s">
        <v>660</v>
      </c>
      <c r="N87" s="11" t="s">
        <v>1177</v>
      </c>
    </row>
    <row r="88" spans="1:14" ht="273.60000000000002">
      <c r="A88" s="8">
        <v>87</v>
      </c>
      <c r="B88" s="10" t="s">
        <v>84</v>
      </c>
      <c r="C88" s="10" t="s">
        <v>1178</v>
      </c>
      <c r="D88" s="11" t="s">
        <v>1179</v>
      </c>
      <c r="E88" s="10" t="s">
        <v>235</v>
      </c>
      <c r="F88" s="10" t="s">
        <v>333</v>
      </c>
      <c r="G88" s="11" t="s">
        <v>660</v>
      </c>
      <c r="H88" s="11" t="s">
        <v>1180</v>
      </c>
      <c r="I88" s="11" t="s">
        <v>1181</v>
      </c>
      <c r="J88" s="10" t="s">
        <v>84</v>
      </c>
      <c r="K88" s="13" t="s">
        <v>1182</v>
      </c>
      <c r="L88" s="11" t="s">
        <v>1183</v>
      </c>
      <c r="M88" s="11" t="s">
        <v>1153</v>
      </c>
      <c r="N88" s="11" t="s">
        <v>1183</v>
      </c>
    </row>
    <row r="89" spans="1:14" ht="277.2">
      <c r="A89" s="8">
        <v>88</v>
      </c>
      <c r="B89" s="10" t="s">
        <v>1184</v>
      </c>
      <c r="C89" s="10" t="s">
        <v>1185</v>
      </c>
      <c r="D89" s="11" t="s">
        <v>1186</v>
      </c>
      <c r="E89" s="10" t="s">
        <v>256</v>
      </c>
      <c r="F89" s="10" t="s">
        <v>356</v>
      </c>
      <c r="G89" s="11" t="s">
        <v>1184</v>
      </c>
      <c r="H89" s="11" t="s">
        <v>1187</v>
      </c>
      <c r="I89" s="11" t="s">
        <v>1188</v>
      </c>
      <c r="J89" s="10" t="s">
        <v>1184</v>
      </c>
      <c r="K89" s="13" t="s">
        <v>1189</v>
      </c>
      <c r="L89" s="11" t="s">
        <v>1190</v>
      </c>
      <c r="M89" s="11" t="s">
        <v>1153</v>
      </c>
      <c r="N89" s="11" t="s">
        <v>1190</v>
      </c>
    </row>
    <row r="90" spans="1:14" ht="273.60000000000002">
      <c r="A90" s="8">
        <v>89</v>
      </c>
      <c r="B90" s="10" t="s">
        <v>85</v>
      </c>
      <c r="C90" s="10" t="s">
        <v>1191</v>
      </c>
      <c r="D90" s="11" t="s">
        <v>1192</v>
      </c>
      <c r="E90" s="10" t="s">
        <v>239</v>
      </c>
      <c r="F90" s="10" t="s">
        <v>357</v>
      </c>
      <c r="G90" s="13" t="s">
        <v>1193</v>
      </c>
      <c r="H90" s="11" t="s">
        <v>1194</v>
      </c>
      <c r="I90" s="11" t="s">
        <v>1195</v>
      </c>
      <c r="J90" s="10" t="s">
        <v>85</v>
      </c>
      <c r="K90" s="13" t="s">
        <v>1196</v>
      </c>
      <c r="L90" s="11">
        <v>8069474732</v>
      </c>
      <c r="M90" s="11" t="s">
        <v>1153</v>
      </c>
      <c r="N90" s="13" t="s">
        <v>1197</v>
      </c>
    </row>
    <row r="91" spans="1:14" ht="264">
      <c r="A91" s="8">
        <v>90</v>
      </c>
      <c r="B91" s="10" t="s">
        <v>86</v>
      </c>
      <c r="C91" s="10" t="s">
        <v>1198</v>
      </c>
      <c r="D91" s="11" t="s">
        <v>1199</v>
      </c>
      <c r="E91" s="10" t="s">
        <v>235</v>
      </c>
      <c r="F91" s="10" t="s">
        <v>333</v>
      </c>
      <c r="G91" s="13" t="s">
        <v>1200</v>
      </c>
      <c r="H91" s="11" t="s">
        <v>1201</v>
      </c>
      <c r="I91" s="11" t="s">
        <v>1202</v>
      </c>
      <c r="J91" s="10" t="s">
        <v>86</v>
      </c>
      <c r="K91" s="13" t="s">
        <v>1203</v>
      </c>
      <c r="L91" s="21" t="s">
        <v>1204</v>
      </c>
      <c r="M91" s="11" t="s">
        <v>1153</v>
      </c>
      <c r="N91" s="13" t="s">
        <v>1205</v>
      </c>
    </row>
    <row r="92" spans="1:14" ht="244.8">
      <c r="A92" s="8">
        <v>91</v>
      </c>
      <c r="B92" s="10" t="s">
        <v>87</v>
      </c>
      <c r="C92" s="10" t="s">
        <v>1206</v>
      </c>
      <c r="D92" s="11" t="s">
        <v>1207</v>
      </c>
      <c r="E92" s="10" t="s">
        <v>225</v>
      </c>
      <c r="F92" s="10" t="s">
        <v>339</v>
      </c>
      <c r="G92" s="11" t="s">
        <v>1208</v>
      </c>
      <c r="H92" s="22" t="s">
        <v>1209</v>
      </c>
      <c r="I92" s="11" t="s">
        <v>1210</v>
      </c>
      <c r="J92" s="10" t="s">
        <v>423</v>
      </c>
      <c r="K92" s="13" t="s">
        <v>1211</v>
      </c>
      <c r="L92" s="11">
        <v>919443345035</v>
      </c>
      <c r="M92" s="11" t="s">
        <v>1138</v>
      </c>
      <c r="N92" s="11" t="s">
        <v>1212</v>
      </c>
    </row>
    <row r="93" spans="1:14" ht="264">
      <c r="A93" s="8">
        <v>92</v>
      </c>
      <c r="B93" s="10" t="s">
        <v>88</v>
      </c>
      <c r="C93" s="10" t="s">
        <v>1213</v>
      </c>
      <c r="D93" s="11" t="s">
        <v>1214</v>
      </c>
      <c r="E93" s="10" t="s">
        <v>235</v>
      </c>
      <c r="F93" s="10" t="s">
        <v>333</v>
      </c>
      <c r="G93" s="11" t="s">
        <v>1215</v>
      </c>
      <c r="H93" s="11" t="s">
        <v>1216</v>
      </c>
      <c r="I93" s="11" t="s">
        <v>1217</v>
      </c>
      <c r="J93" s="10" t="s">
        <v>88</v>
      </c>
      <c r="K93" s="13" t="s">
        <v>1218</v>
      </c>
      <c r="L93" s="11">
        <v>8884099411</v>
      </c>
      <c r="M93" s="11" t="s">
        <v>1219</v>
      </c>
      <c r="N93" s="11" t="s">
        <v>1220</v>
      </c>
    </row>
    <row r="94" spans="1:14" ht="224.4">
      <c r="A94" s="8">
        <v>93</v>
      </c>
      <c r="B94" s="10" t="s">
        <v>1221</v>
      </c>
      <c r="C94" s="10" t="s">
        <v>1222</v>
      </c>
      <c r="D94" s="11" t="s">
        <v>1223</v>
      </c>
      <c r="E94" s="10" t="s">
        <v>257</v>
      </c>
      <c r="F94" s="10" t="s">
        <v>339</v>
      </c>
      <c r="G94" s="11" t="s">
        <v>1224</v>
      </c>
      <c r="H94" s="11" t="s">
        <v>1225</v>
      </c>
      <c r="I94" s="11" t="s">
        <v>1226</v>
      </c>
      <c r="J94" s="10" t="s">
        <v>424</v>
      </c>
      <c r="K94" s="13" t="s">
        <v>1227</v>
      </c>
      <c r="L94" s="11" t="s">
        <v>1228</v>
      </c>
      <c r="M94" s="11" t="s">
        <v>1153</v>
      </c>
      <c r="N94" s="11" t="s">
        <v>1229</v>
      </c>
    </row>
    <row r="95" spans="1:14" ht="230.4">
      <c r="A95" s="8">
        <v>94</v>
      </c>
      <c r="B95" s="10" t="s">
        <v>89</v>
      </c>
      <c r="C95" s="10" t="s">
        <v>1230</v>
      </c>
      <c r="D95" s="11" t="s">
        <v>1231</v>
      </c>
      <c r="E95" s="10" t="s">
        <v>235</v>
      </c>
      <c r="F95" s="10" t="s">
        <v>333</v>
      </c>
      <c r="G95" s="13" t="s">
        <v>1232</v>
      </c>
      <c r="H95" s="11" t="s">
        <v>1233</v>
      </c>
      <c r="I95" s="11" t="s">
        <v>1234</v>
      </c>
      <c r="J95" s="10" t="s">
        <v>89</v>
      </c>
      <c r="K95" s="13" t="s">
        <v>1235</v>
      </c>
      <c r="L95" s="11" t="s">
        <v>1236</v>
      </c>
      <c r="M95" s="11" t="s">
        <v>1237</v>
      </c>
      <c r="N95" s="13" t="s">
        <v>1238</v>
      </c>
    </row>
    <row r="96" spans="1:14" ht="230.4">
      <c r="A96" s="8">
        <v>95</v>
      </c>
      <c r="B96" s="10" t="s">
        <v>90</v>
      </c>
      <c r="C96" s="10" t="s">
        <v>1239</v>
      </c>
      <c r="D96" s="11" t="s">
        <v>1240</v>
      </c>
      <c r="E96" s="10" t="s">
        <v>235</v>
      </c>
      <c r="F96" s="10" t="s">
        <v>333</v>
      </c>
      <c r="G96" s="11" t="s">
        <v>1241</v>
      </c>
      <c r="H96" s="11" t="s">
        <v>1242</v>
      </c>
      <c r="I96" s="11" t="s">
        <v>1243</v>
      </c>
      <c r="J96" s="10" t="s">
        <v>90</v>
      </c>
      <c r="K96" s="13" t="s">
        <v>1244</v>
      </c>
      <c r="L96" s="13" t="s">
        <v>1245</v>
      </c>
      <c r="M96" s="11" t="s">
        <v>1153</v>
      </c>
      <c r="N96" s="13" t="s">
        <v>1245</v>
      </c>
    </row>
    <row r="97" spans="1:14" ht="250.8">
      <c r="A97" s="8">
        <v>96</v>
      </c>
      <c r="B97" s="10" t="s">
        <v>91</v>
      </c>
      <c r="C97" s="10" t="s">
        <v>1246</v>
      </c>
      <c r="D97" s="11" t="s">
        <v>1247</v>
      </c>
      <c r="E97" s="10" t="s">
        <v>224</v>
      </c>
      <c r="F97" s="10" t="s">
        <v>347</v>
      </c>
      <c r="G97" s="13" t="s">
        <v>1248</v>
      </c>
      <c r="H97" s="11" t="s">
        <v>1249</v>
      </c>
      <c r="I97" s="11" t="s">
        <v>1250</v>
      </c>
      <c r="J97" s="10" t="s">
        <v>425</v>
      </c>
      <c r="K97" s="13" t="s">
        <v>1251</v>
      </c>
      <c r="L97" s="11" t="s">
        <v>1252</v>
      </c>
      <c r="M97" s="11" t="s">
        <v>1253</v>
      </c>
      <c r="N97" s="13" t="s">
        <v>1254</v>
      </c>
    </row>
    <row r="98" spans="1:14" ht="273.60000000000002">
      <c r="A98" s="8">
        <v>97</v>
      </c>
      <c r="B98" s="10" t="s">
        <v>92</v>
      </c>
      <c r="C98" s="10" t="s">
        <v>1255</v>
      </c>
      <c r="D98" s="11" t="s">
        <v>1256</v>
      </c>
      <c r="E98" s="10" t="s">
        <v>240</v>
      </c>
      <c r="F98" s="10" t="s">
        <v>340</v>
      </c>
      <c r="G98" s="13" t="s">
        <v>1257</v>
      </c>
      <c r="H98" s="11" t="s">
        <v>1258</v>
      </c>
      <c r="I98" s="11" t="s">
        <v>1259</v>
      </c>
      <c r="J98" s="10" t="s">
        <v>389</v>
      </c>
      <c r="K98" s="13" t="s">
        <v>1260</v>
      </c>
      <c r="L98" s="11">
        <v>918800235665</v>
      </c>
      <c r="M98" s="11" t="s">
        <v>1261</v>
      </c>
      <c r="N98" s="23" t="s">
        <v>530</v>
      </c>
    </row>
    <row r="99" spans="1:14" ht="237.6">
      <c r="A99" s="8">
        <v>98</v>
      </c>
      <c r="B99" s="10" t="s">
        <v>93</v>
      </c>
      <c r="C99" s="10" t="s">
        <v>1262</v>
      </c>
      <c r="D99" s="11" t="s">
        <v>1263</v>
      </c>
      <c r="E99" s="10" t="s">
        <v>258</v>
      </c>
      <c r="F99" s="10" t="s">
        <v>344</v>
      </c>
      <c r="G99" s="11" t="s">
        <v>1264</v>
      </c>
      <c r="H99" s="11" t="s">
        <v>1265</v>
      </c>
      <c r="I99" s="11" t="s">
        <v>1266</v>
      </c>
      <c r="J99" s="10" t="s">
        <v>399</v>
      </c>
      <c r="K99" s="13" t="s">
        <v>1267</v>
      </c>
      <c r="L99" s="11">
        <v>918800235665</v>
      </c>
      <c r="M99" s="11" t="s">
        <v>1268</v>
      </c>
      <c r="N99" s="11" t="s">
        <v>1269</v>
      </c>
    </row>
    <row r="100" spans="1:14" ht="264">
      <c r="A100" s="8">
        <v>99</v>
      </c>
      <c r="B100" s="10" t="s">
        <v>94</v>
      </c>
      <c r="C100" s="10" t="s">
        <v>1270</v>
      </c>
      <c r="D100" s="11" t="s">
        <v>1271</v>
      </c>
      <c r="E100" s="10" t="s">
        <v>259</v>
      </c>
      <c r="F100" s="10" t="s">
        <v>358</v>
      </c>
      <c r="G100" s="11" t="s">
        <v>1272</v>
      </c>
      <c r="H100" s="11" t="s">
        <v>1273</v>
      </c>
      <c r="I100" s="11" t="s">
        <v>1274</v>
      </c>
      <c r="J100" s="10" t="s">
        <v>389</v>
      </c>
      <c r="K100" s="13" t="s">
        <v>1275</v>
      </c>
      <c r="L100" s="11">
        <v>1800112001</v>
      </c>
      <c r="M100" s="11" t="s">
        <v>1268</v>
      </c>
      <c r="N100" s="11" t="s">
        <v>519</v>
      </c>
    </row>
    <row r="101" spans="1:14" ht="288">
      <c r="A101" s="8">
        <v>100</v>
      </c>
      <c r="B101" s="10" t="s">
        <v>1276</v>
      </c>
      <c r="C101" s="10" t="s">
        <v>1277</v>
      </c>
      <c r="D101" s="11" t="s">
        <v>1278</v>
      </c>
      <c r="E101" s="10" t="s">
        <v>260</v>
      </c>
      <c r="F101" s="10" t="s">
        <v>358</v>
      </c>
      <c r="G101" s="13" t="s">
        <v>1279</v>
      </c>
      <c r="H101" s="11" t="s">
        <v>1280</v>
      </c>
      <c r="I101" s="11" t="s">
        <v>1281</v>
      </c>
      <c r="J101" s="10" t="s">
        <v>1276</v>
      </c>
      <c r="K101" s="13" t="s">
        <v>1282</v>
      </c>
      <c r="L101" s="11" t="s">
        <v>1283</v>
      </c>
      <c r="M101" s="11" t="s">
        <v>1284</v>
      </c>
      <c r="N101" s="11" t="s">
        <v>1285</v>
      </c>
    </row>
    <row r="102" spans="1:14" ht="273.60000000000002">
      <c r="A102" s="8">
        <v>101</v>
      </c>
      <c r="B102" s="10" t="s">
        <v>1286</v>
      </c>
      <c r="C102" s="10" t="s">
        <v>1287</v>
      </c>
      <c r="D102" s="11" t="s">
        <v>1288</v>
      </c>
      <c r="E102" s="10" t="s">
        <v>261</v>
      </c>
      <c r="F102" s="10" t="s">
        <v>358</v>
      </c>
      <c r="G102" s="11" t="s">
        <v>1286</v>
      </c>
      <c r="H102" s="11" t="s">
        <v>1289</v>
      </c>
      <c r="I102" s="11" t="s">
        <v>1290</v>
      </c>
      <c r="J102" s="10" t="s">
        <v>426</v>
      </c>
      <c r="K102" s="13" t="s">
        <v>1291</v>
      </c>
      <c r="L102" s="11" t="s">
        <v>1292</v>
      </c>
      <c r="M102" s="11" t="s">
        <v>395</v>
      </c>
      <c r="N102" s="11" t="s">
        <v>1292</v>
      </c>
    </row>
    <row r="103" spans="1:14" ht="259.2">
      <c r="A103" s="8">
        <v>102</v>
      </c>
      <c r="B103" s="10" t="s">
        <v>95</v>
      </c>
      <c r="C103" s="11" t="s">
        <v>1293</v>
      </c>
      <c r="D103" s="11" t="s">
        <v>1294</v>
      </c>
      <c r="E103" s="10" t="s">
        <v>235</v>
      </c>
      <c r="F103" s="10" t="s">
        <v>333</v>
      </c>
      <c r="G103" s="11" t="s">
        <v>1295</v>
      </c>
      <c r="H103" s="11" t="s">
        <v>1296</v>
      </c>
      <c r="I103" s="11" t="s">
        <v>1297</v>
      </c>
      <c r="J103" s="10" t="s">
        <v>95</v>
      </c>
      <c r="K103" s="13" t="s">
        <v>1298</v>
      </c>
      <c r="L103" s="11" t="s">
        <v>1299</v>
      </c>
      <c r="M103" s="11" t="s">
        <v>1300</v>
      </c>
      <c r="N103" s="11" t="s">
        <v>1299</v>
      </c>
    </row>
    <row r="104" spans="1:14" ht="264">
      <c r="A104" s="8">
        <v>103</v>
      </c>
      <c r="B104" s="10" t="s">
        <v>96</v>
      </c>
      <c r="C104" s="10" t="s">
        <v>1301</v>
      </c>
      <c r="D104" s="11" t="s">
        <v>1302</v>
      </c>
      <c r="E104" s="10" t="s">
        <v>262</v>
      </c>
      <c r="F104" s="10" t="s">
        <v>327</v>
      </c>
      <c r="G104" s="11" t="s">
        <v>1303</v>
      </c>
      <c r="H104" s="11" t="s">
        <v>1304</v>
      </c>
      <c r="I104" s="11" t="s">
        <v>1305</v>
      </c>
      <c r="J104" s="10" t="s">
        <v>373</v>
      </c>
      <c r="K104" s="13" t="s">
        <v>1306</v>
      </c>
      <c r="L104" s="11" t="s">
        <v>1307</v>
      </c>
      <c r="M104" s="11" t="s">
        <v>1308</v>
      </c>
      <c r="N104" s="11" t="s">
        <v>1309</v>
      </c>
    </row>
    <row r="105" spans="1:14" ht="259.2">
      <c r="A105" s="8">
        <v>104</v>
      </c>
      <c r="B105" s="10" t="s">
        <v>97</v>
      </c>
      <c r="C105" s="10" t="s">
        <v>1310</v>
      </c>
      <c r="D105" s="11" t="s">
        <v>1311</v>
      </c>
      <c r="E105" s="10" t="s">
        <v>263</v>
      </c>
      <c r="F105" s="10" t="s">
        <v>355</v>
      </c>
      <c r="G105" s="11" t="s">
        <v>1312</v>
      </c>
      <c r="H105" s="11" t="s">
        <v>1313</v>
      </c>
      <c r="I105" s="11" t="s">
        <v>1314</v>
      </c>
      <c r="J105" s="10" t="s">
        <v>373</v>
      </c>
      <c r="K105" s="13" t="s">
        <v>1315</v>
      </c>
      <c r="L105" s="11" t="s">
        <v>1316</v>
      </c>
      <c r="M105" s="11" t="s">
        <v>1317</v>
      </c>
      <c r="N105" s="11" t="s">
        <v>1316</v>
      </c>
    </row>
    <row r="106" spans="1:14" ht="288">
      <c r="A106" s="8">
        <v>105</v>
      </c>
      <c r="B106" s="10" t="s">
        <v>1318</v>
      </c>
      <c r="C106" s="10" t="s">
        <v>1319</v>
      </c>
      <c r="D106" s="11" t="s">
        <v>1320</v>
      </c>
      <c r="E106" s="10" t="s">
        <v>264</v>
      </c>
      <c r="F106" s="10" t="s">
        <v>327</v>
      </c>
      <c r="G106" s="11" t="s">
        <v>1321</v>
      </c>
      <c r="H106" s="11" t="s">
        <v>1322</v>
      </c>
      <c r="I106" s="11" t="s">
        <v>1323</v>
      </c>
      <c r="J106" s="10" t="s">
        <v>427</v>
      </c>
      <c r="K106" s="13" t="s">
        <v>1324</v>
      </c>
      <c r="L106" s="11" t="s">
        <v>1325</v>
      </c>
      <c r="M106" s="11" t="s">
        <v>1153</v>
      </c>
      <c r="N106" s="11" t="s">
        <v>1326</v>
      </c>
    </row>
    <row r="107" spans="1:14" ht="288">
      <c r="A107" s="8">
        <v>106</v>
      </c>
      <c r="B107" s="10" t="s">
        <v>98</v>
      </c>
      <c r="C107" s="10" t="s">
        <v>1327</v>
      </c>
      <c r="D107" s="11" t="s">
        <v>1328</v>
      </c>
      <c r="E107" s="10" t="s">
        <v>265</v>
      </c>
      <c r="F107" s="10" t="s">
        <v>342</v>
      </c>
      <c r="G107" s="11" t="s">
        <v>98</v>
      </c>
      <c r="H107" s="11" t="s">
        <v>1329</v>
      </c>
      <c r="I107" s="11" t="s">
        <v>1330</v>
      </c>
      <c r="J107" s="10" t="s">
        <v>373</v>
      </c>
      <c r="K107" s="13" t="s">
        <v>1331</v>
      </c>
      <c r="L107" s="11" t="s">
        <v>1332</v>
      </c>
      <c r="M107" s="11" t="s">
        <v>1333</v>
      </c>
      <c r="N107" s="11" t="s">
        <v>1334</v>
      </c>
    </row>
    <row r="108" spans="1:14" ht="259.2">
      <c r="A108" s="8">
        <v>107</v>
      </c>
      <c r="B108" s="10" t="s">
        <v>1335</v>
      </c>
      <c r="C108" s="10" t="s">
        <v>1336</v>
      </c>
      <c r="D108" s="11" t="s">
        <v>1337</v>
      </c>
      <c r="E108" s="10" t="s">
        <v>266</v>
      </c>
      <c r="F108" s="10" t="s">
        <v>327</v>
      </c>
      <c r="G108" s="11" t="s">
        <v>1338</v>
      </c>
      <c r="H108" s="11" t="s">
        <v>1339</v>
      </c>
      <c r="I108" s="11" t="s">
        <v>1340</v>
      </c>
      <c r="J108" s="10" t="s">
        <v>428</v>
      </c>
      <c r="K108" s="13" t="s">
        <v>1341</v>
      </c>
      <c r="L108" s="11" t="s">
        <v>1342</v>
      </c>
      <c r="M108" s="11" t="s">
        <v>1153</v>
      </c>
      <c r="N108" s="11" t="s">
        <v>1342</v>
      </c>
    </row>
    <row r="109" spans="1:14" ht="273.60000000000002">
      <c r="A109" s="8">
        <v>108</v>
      </c>
      <c r="B109" s="10" t="s">
        <v>99</v>
      </c>
      <c r="C109" s="10" t="s">
        <v>1343</v>
      </c>
      <c r="D109" s="11" t="s">
        <v>1344</v>
      </c>
      <c r="E109" s="10" t="s">
        <v>267</v>
      </c>
      <c r="F109" s="10" t="s">
        <v>342</v>
      </c>
      <c r="G109" s="11" t="s">
        <v>99</v>
      </c>
      <c r="H109" s="11" t="s">
        <v>1345</v>
      </c>
      <c r="I109" s="11" t="s">
        <v>1346</v>
      </c>
      <c r="J109" s="10" t="s">
        <v>373</v>
      </c>
      <c r="K109" s="13" t="s">
        <v>1347</v>
      </c>
      <c r="L109" s="11" t="s">
        <v>1348</v>
      </c>
      <c r="M109" s="11" t="s">
        <v>1153</v>
      </c>
      <c r="N109" s="11" t="s">
        <v>1349</v>
      </c>
    </row>
    <row r="110" spans="1:14" ht="345.6">
      <c r="A110" s="8">
        <v>109</v>
      </c>
      <c r="B110" s="10" t="s">
        <v>100</v>
      </c>
      <c r="C110" s="11" t="s">
        <v>1350</v>
      </c>
      <c r="D110" s="11" t="s">
        <v>1351</v>
      </c>
      <c r="E110" s="10" t="s">
        <v>268</v>
      </c>
      <c r="F110" s="10" t="s">
        <v>331</v>
      </c>
      <c r="G110" s="13" t="s">
        <v>1352</v>
      </c>
      <c r="H110" s="11" t="s">
        <v>1353</v>
      </c>
      <c r="I110" s="11" t="s">
        <v>1354</v>
      </c>
      <c r="J110" s="10" t="s">
        <v>399</v>
      </c>
      <c r="K110" s="13" t="s">
        <v>1355</v>
      </c>
      <c r="L110" s="11" t="s">
        <v>1356</v>
      </c>
      <c r="M110" s="11" t="s">
        <v>1153</v>
      </c>
      <c r="N110" s="11" t="s">
        <v>1357</v>
      </c>
    </row>
    <row r="111" spans="1:14" ht="331.2">
      <c r="A111" s="8">
        <v>110</v>
      </c>
      <c r="B111" s="10" t="s">
        <v>101</v>
      </c>
      <c r="C111" s="11" t="s">
        <v>1358</v>
      </c>
      <c r="D111" s="11" t="s">
        <v>1359</v>
      </c>
      <c r="E111" s="10" t="s">
        <v>225</v>
      </c>
      <c r="F111" s="10" t="s">
        <v>339</v>
      </c>
      <c r="G111" s="13" t="s">
        <v>1360</v>
      </c>
      <c r="H111" s="11" t="s">
        <v>1361</v>
      </c>
      <c r="I111" s="11" t="s">
        <v>1362</v>
      </c>
      <c r="J111" s="10" t="s">
        <v>429</v>
      </c>
      <c r="K111" s="13" t="s">
        <v>1363</v>
      </c>
      <c r="L111" s="11" t="s">
        <v>1356</v>
      </c>
      <c r="M111" s="11" t="s">
        <v>1364</v>
      </c>
      <c r="N111" s="11" t="s">
        <v>1365</v>
      </c>
    </row>
    <row r="112" spans="1:14" ht="316.8">
      <c r="A112" s="8">
        <v>111</v>
      </c>
      <c r="B112" s="24" t="s">
        <v>102</v>
      </c>
      <c r="C112" s="11" t="s">
        <v>1366</v>
      </c>
      <c r="D112" s="11" t="s">
        <v>1367</v>
      </c>
      <c r="E112" s="10" t="s">
        <v>225</v>
      </c>
      <c r="F112" s="10" t="s">
        <v>359</v>
      </c>
      <c r="G112" s="13" t="s">
        <v>1368</v>
      </c>
      <c r="H112" s="11" t="s">
        <v>1369</v>
      </c>
      <c r="I112" s="11" t="s">
        <v>1370</v>
      </c>
      <c r="J112" s="10" t="s">
        <v>430</v>
      </c>
      <c r="K112" s="13" t="s">
        <v>1371</v>
      </c>
      <c r="L112" s="11" t="s">
        <v>1356</v>
      </c>
      <c r="M112" s="11" t="s">
        <v>1372</v>
      </c>
      <c r="N112" s="11" t="s">
        <v>1373</v>
      </c>
    </row>
    <row r="113" spans="1:14" ht="345.6">
      <c r="A113" s="8">
        <v>112</v>
      </c>
      <c r="B113" s="10" t="s">
        <v>103</v>
      </c>
      <c r="C113" s="11" t="s">
        <v>1374</v>
      </c>
      <c r="D113" s="11" t="s">
        <v>1375</v>
      </c>
      <c r="E113" s="10" t="s">
        <v>225</v>
      </c>
      <c r="F113" s="10" t="s">
        <v>339</v>
      </c>
      <c r="G113" s="13" t="s">
        <v>1376</v>
      </c>
      <c r="H113" s="11" t="s">
        <v>1377</v>
      </c>
      <c r="I113" s="11" t="s">
        <v>1378</v>
      </c>
      <c r="J113" s="10" t="s">
        <v>431</v>
      </c>
      <c r="K113" s="13" t="s">
        <v>1379</v>
      </c>
      <c r="L113" s="11" t="s">
        <v>1356</v>
      </c>
      <c r="M113" s="11" t="s">
        <v>1146</v>
      </c>
      <c r="N113" s="11" t="s">
        <v>1380</v>
      </c>
    </row>
    <row r="114" spans="1:14" ht="331.8" thickBot="1">
      <c r="A114" s="8">
        <v>113</v>
      </c>
      <c r="B114" s="10" t="s">
        <v>104</v>
      </c>
      <c r="C114" s="11" t="s">
        <v>1381</v>
      </c>
      <c r="D114" s="11" t="s">
        <v>1382</v>
      </c>
      <c r="E114" s="10" t="s">
        <v>269</v>
      </c>
      <c r="F114" s="10" t="s">
        <v>332</v>
      </c>
      <c r="G114" s="13" t="s">
        <v>1383</v>
      </c>
      <c r="H114" s="11" t="s">
        <v>1384</v>
      </c>
      <c r="I114" s="11" t="s">
        <v>1385</v>
      </c>
      <c r="J114" s="10" t="s">
        <v>432</v>
      </c>
      <c r="K114" s="13" t="s">
        <v>1386</v>
      </c>
      <c r="L114" s="11" t="s">
        <v>1387</v>
      </c>
      <c r="M114" s="11" t="s">
        <v>1388</v>
      </c>
      <c r="N114" s="11" t="s">
        <v>1389</v>
      </c>
    </row>
    <row r="115" spans="1:14" ht="360.6" thickBot="1">
      <c r="A115" s="8">
        <v>114</v>
      </c>
      <c r="B115" s="10" t="s">
        <v>1390</v>
      </c>
      <c r="C115" s="11" t="s">
        <v>1391</v>
      </c>
      <c r="D115" s="11" t="s">
        <v>1392</v>
      </c>
      <c r="E115" s="10" t="s">
        <v>270</v>
      </c>
      <c r="F115" s="10" t="s">
        <v>332</v>
      </c>
      <c r="G115" s="13" t="s">
        <v>1393</v>
      </c>
      <c r="H115" s="11" t="s">
        <v>1394</v>
      </c>
      <c r="I115" s="11" t="s">
        <v>1395</v>
      </c>
      <c r="J115" s="10" t="s">
        <v>433</v>
      </c>
      <c r="K115" s="13" t="s">
        <v>1396</v>
      </c>
      <c r="L115" s="25" t="s">
        <v>1397</v>
      </c>
      <c r="M115" s="11" t="s">
        <v>1398</v>
      </c>
      <c r="N115" s="11" t="s">
        <v>1399</v>
      </c>
    </row>
    <row r="116" spans="1:14" ht="317.39999999999998" thickBot="1">
      <c r="A116" s="8">
        <v>115</v>
      </c>
      <c r="B116" s="13" t="s">
        <v>105</v>
      </c>
      <c r="C116" s="11" t="s">
        <v>1400</v>
      </c>
      <c r="D116" s="11" t="s">
        <v>1401</v>
      </c>
      <c r="E116" s="10" t="s">
        <v>224</v>
      </c>
      <c r="F116" s="10" t="s">
        <v>342</v>
      </c>
      <c r="G116" s="13" t="s">
        <v>1402</v>
      </c>
      <c r="H116" s="11" t="s">
        <v>1403</v>
      </c>
      <c r="I116" s="11" t="s">
        <v>1404</v>
      </c>
      <c r="J116" s="10" t="s">
        <v>434</v>
      </c>
      <c r="K116" s="13" t="s">
        <v>1405</v>
      </c>
      <c r="L116" s="26" t="s">
        <v>660</v>
      </c>
      <c r="M116" s="11" t="s">
        <v>1406</v>
      </c>
      <c r="N116" s="11" t="s">
        <v>1407</v>
      </c>
    </row>
    <row r="117" spans="1:14" ht="346.2" thickBot="1">
      <c r="A117" s="8">
        <v>116</v>
      </c>
      <c r="B117" s="10" t="s">
        <v>1408</v>
      </c>
      <c r="C117" s="11" t="s">
        <v>1409</v>
      </c>
      <c r="D117" s="11" t="s">
        <v>1410</v>
      </c>
      <c r="E117" s="10" t="s">
        <v>271</v>
      </c>
      <c r="F117" s="10" t="s">
        <v>360</v>
      </c>
      <c r="G117" s="13" t="s">
        <v>1411</v>
      </c>
      <c r="H117" s="11" t="s">
        <v>1412</v>
      </c>
      <c r="I117" s="11" t="s">
        <v>1413</v>
      </c>
      <c r="J117" s="10" t="s">
        <v>435</v>
      </c>
      <c r="K117" s="13" t="s">
        <v>1414</v>
      </c>
      <c r="L117" s="26" t="s">
        <v>660</v>
      </c>
      <c r="M117" s="11" t="s">
        <v>1153</v>
      </c>
      <c r="N117" s="11" t="s">
        <v>1415</v>
      </c>
    </row>
    <row r="118" spans="1:14" ht="331.8" thickBot="1">
      <c r="A118" s="8">
        <v>117</v>
      </c>
      <c r="B118" s="10" t="s">
        <v>106</v>
      </c>
      <c r="C118" s="11" t="s">
        <v>1416</v>
      </c>
      <c r="D118" s="11" t="s">
        <v>1417</v>
      </c>
      <c r="E118" s="10" t="s">
        <v>222</v>
      </c>
      <c r="F118" s="10" t="s">
        <v>360</v>
      </c>
      <c r="G118" s="13" t="s">
        <v>1418</v>
      </c>
      <c r="H118" s="11" t="s">
        <v>1419</v>
      </c>
      <c r="I118" s="11" t="s">
        <v>1420</v>
      </c>
      <c r="J118" s="10" t="s">
        <v>436</v>
      </c>
      <c r="K118" s="13" t="s">
        <v>1421</v>
      </c>
      <c r="L118" s="26" t="s">
        <v>660</v>
      </c>
      <c r="M118" s="11" t="s">
        <v>1153</v>
      </c>
      <c r="N118" s="11" t="s">
        <v>1422</v>
      </c>
    </row>
    <row r="119" spans="1:14" ht="303" thickBot="1">
      <c r="A119" s="8">
        <v>118</v>
      </c>
      <c r="B119" s="10" t="s">
        <v>107</v>
      </c>
      <c r="C119" s="11" t="s">
        <v>1423</v>
      </c>
      <c r="D119" s="11" t="s">
        <v>1424</v>
      </c>
      <c r="E119" s="10" t="s">
        <v>272</v>
      </c>
      <c r="F119" s="10" t="s">
        <v>335</v>
      </c>
      <c r="G119" s="13" t="s">
        <v>1425</v>
      </c>
      <c r="H119" s="11" t="s">
        <v>1426</v>
      </c>
      <c r="I119" s="11" t="s">
        <v>1427</v>
      </c>
      <c r="J119" s="10" t="s">
        <v>399</v>
      </c>
      <c r="K119" s="13" t="s">
        <v>1428</v>
      </c>
      <c r="L119" s="26" t="s">
        <v>660</v>
      </c>
      <c r="M119" s="11" t="s">
        <v>1153</v>
      </c>
      <c r="N119" s="11" t="s">
        <v>1429</v>
      </c>
    </row>
    <row r="120" spans="1:14" ht="346.2" thickBot="1">
      <c r="A120" s="8">
        <v>119</v>
      </c>
      <c r="B120" s="10" t="s">
        <v>108</v>
      </c>
      <c r="C120" s="11" t="s">
        <v>1430</v>
      </c>
      <c r="D120" s="11" t="s">
        <v>1431</v>
      </c>
      <c r="E120" s="10" t="s">
        <v>222</v>
      </c>
      <c r="F120" s="10" t="s">
        <v>332</v>
      </c>
      <c r="G120" s="13" t="s">
        <v>1432</v>
      </c>
      <c r="H120" s="11" t="s">
        <v>1433</v>
      </c>
      <c r="I120" s="11" t="s">
        <v>1434</v>
      </c>
      <c r="J120" s="10" t="s">
        <v>437</v>
      </c>
      <c r="K120" s="13" t="s">
        <v>1435</v>
      </c>
      <c r="L120" s="26">
        <v>44152465201</v>
      </c>
      <c r="M120" s="11" t="s">
        <v>1153</v>
      </c>
      <c r="N120" s="11" t="s">
        <v>1436</v>
      </c>
    </row>
    <row r="121" spans="1:14" ht="303" thickBot="1">
      <c r="A121" s="8">
        <v>120</v>
      </c>
      <c r="B121" s="10" t="s">
        <v>109</v>
      </c>
      <c r="C121" s="11" t="s">
        <v>1437</v>
      </c>
      <c r="D121" s="11" t="s">
        <v>1438</v>
      </c>
      <c r="E121" s="10" t="s">
        <v>273</v>
      </c>
      <c r="F121" s="10" t="s">
        <v>332</v>
      </c>
      <c r="G121" s="13" t="s">
        <v>1439</v>
      </c>
      <c r="H121" s="11" t="s">
        <v>1440</v>
      </c>
      <c r="I121" s="11" t="s">
        <v>1441</v>
      </c>
      <c r="J121" s="10" t="s">
        <v>109</v>
      </c>
      <c r="K121" s="13" t="s">
        <v>1442</v>
      </c>
      <c r="L121" s="26" t="s">
        <v>1443</v>
      </c>
      <c r="M121" s="11" t="s">
        <v>1153</v>
      </c>
      <c r="N121" s="11" t="s">
        <v>1444</v>
      </c>
    </row>
    <row r="122" spans="1:14" ht="303" thickBot="1">
      <c r="A122" s="8">
        <v>121</v>
      </c>
      <c r="B122" s="10" t="s">
        <v>1445</v>
      </c>
      <c r="C122" s="11" t="s">
        <v>1446</v>
      </c>
      <c r="D122" s="11" t="s">
        <v>1447</v>
      </c>
      <c r="E122" s="10" t="s">
        <v>274</v>
      </c>
      <c r="F122" s="10" t="s">
        <v>332</v>
      </c>
      <c r="G122" s="13" t="s">
        <v>1448</v>
      </c>
      <c r="H122" s="11" t="s">
        <v>1449</v>
      </c>
      <c r="I122" s="11" t="s">
        <v>1450</v>
      </c>
      <c r="J122" s="10" t="s">
        <v>1445</v>
      </c>
      <c r="K122" s="13" t="s">
        <v>1451</v>
      </c>
      <c r="L122" s="26" t="s">
        <v>1452</v>
      </c>
      <c r="M122" s="11" t="s">
        <v>1453</v>
      </c>
      <c r="N122" s="11" t="s">
        <v>1454</v>
      </c>
    </row>
    <row r="123" spans="1:14" ht="288.60000000000002" thickBot="1">
      <c r="A123" s="8">
        <v>122</v>
      </c>
      <c r="B123" s="10" t="s">
        <v>1455</v>
      </c>
      <c r="C123" s="11" t="s">
        <v>1456</v>
      </c>
      <c r="D123" s="11" t="s">
        <v>1457</v>
      </c>
      <c r="E123" s="10" t="s">
        <v>275</v>
      </c>
      <c r="F123" s="10" t="s">
        <v>332</v>
      </c>
      <c r="G123" s="13" t="s">
        <v>1458</v>
      </c>
      <c r="H123" s="11" t="s">
        <v>1459</v>
      </c>
      <c r="I123" s="11" t="s">
        <v>1460</v>
      </c>
      <c r="J123" s="10" t="s">
        <v>438</v>
      </c>
      <c r="K123" s="11" t="s">
        <v>660</v>
      </c>
      <c r="L123" s="26" t="s">
        <v>660</v>
      </c>
      <c r="M123" s="11" t="s">
        <v>1453</v>
      </c>
      <c r="N123" s="11" t="s">
        <v>1461</v>
      </c>
    </row>
    <row r="124" spans="1:14" ht="288.60000000000002" thickBot="1">
      <c r="A124" s="8">
        <v>123</v>
      </c>
      <c r="B124" s="10" t="s">
        <v>110</v>
      </c>
      <c r="C124" s="11" t="s">
        <v>1462</v>
      </c>
      <c r="D124" s="11" t="s">
        <v>1463</v>
      </c>
      <c r="E124" s="10" t="s">
        <v>276</v>
      </c>
      <c r="F124" s="10" t="s">
        <v>328</v>
      </c>
      <c r="G124" s="13" t="s">
        <v>1464</v>
      </c>
      <c r="H124" s="11" t="s">
        <v>1465</v>
      </c>
      <c r="I124" s="11" t="s">
        <v>1466</v>
      </c>
      <c r="J124" s="10" t="s">
        <v>373</v>
      </c>
      <c r="K124" s="13" t="s">
        <v>1467</v>
      </c>
      <c r="L124" s="27">
        <v>18001805132</v>
      </c>
      <c r="M124" s="11" t="s">
        <v>1453</v>
      </c>
      <c r="N124" s="11" t="s">
        <v>1468</v>
      </c>
    </row>
    <row r="125" spans="1:14" ht="288.60000000000002" thickBot="1">
      <c r="A125" s="8">
        <v>124</v>
      </c>
      <c r="B125" s="10" t="s">
        <v>111</v>
      </c>
      <c r="C125" s="11" t="s">
        <v>1469</v>
      </c>
      <c r="D125" s="11" t="s">
        <v>1470</v>
      </c>
      <c r="E125" s="10" t="s">
        <v>277</v>
      </c>
      <c r="F125" s="10" t="s">
        <v>331</v>
      </c>
      <c r="G125" s="13" t="s">
        <v>1471</v>
      </c>
      <c r="H125" s="11" t="s">
        <v>1472</v>
      </c>
      <c r="I125" s="11" t="s">
        <v>1473</v>
      </c>
      <c r="J125" s="10" t="s">
        <v>399</v>
      </c>
      <c r="K125" s="13" t="s">
        <v>1474</v>
      </c>
      <c r="L125" s="26" t="s">
        <v>1475</v>
      </c>
      <c r="M125" s="11" t="s">
        <v>1453</v>
      </c>
      <c r="N125" s="11" t="s">
        <v>1476</v>
      </c>
    </row>
    <row r="126" spans="1:14" ht="317.39999999999998" thickBot="1">
      <c r="A126" s="8">
        <v>125</v>
      </c>
      <c r="B126" s="10" t="s">
        <v>112</v>
      </c>
      <c r="C126" s="11" t="s">
        <v>1477</v>
      </c>
      <c r="D126" s="11" t="s">
        <v>1478</v>
      </c>
      <c r="E126" s="10" t="s">
        <v>278</v>
      </c>
      <c r="F126" s="10" t="s">
        <v>331</v>
      </c>
      <c r="G126" s="13" t="s">
        <v>1479</v>
      </c>
      <c r="H126" s="11" t="s">
        <v>1480</v>
      </c>
      <c r="I126" s="11" t="s">
        <v>1481</v>
      </c>
      <c r="J126" s="10" t="s">
        <v>399</v>
      </c>
      <c r="K126" s="13" t="s">
        <v>1482</v>
      </c>
      <c r="L126" s="26" t="s">
        <v>1475</v>
      </c>
      <c r="M126" s="11" t="s">
        <v>1453</v>
      </c>
      <c r="N126" s="11" t="s">
        <v>1483</v>
      </c>
    </row>
    <row r="127" spans="1:14" ht="288.60000000000002" thickBot="1">
      <c r="A127" s="8">
        <v>126</v>
      </c>
      <c r="B127" s="10" t="s">
        <v>113</v>
      </c>
      <c r="C127" s="11" t="s">
        <v>1484</v>
      </c>
      <c r="D127" s="11" t="s">
        <v>1485</v>
      </c>
      <c r="E127" s="10" t="s">
        <v>222</v>
      </c>
      <c r="F127" s="10" t="s">
        <v>336</v>
      </c>
      <c r="G127" s="13" t="s">
        <v>1486</v>
      </c>
      <c r="H127" s="11" t="s">
        <v>1487</v>
      </c>
      <c r="I127" s="11" t="s">
        <v>1488</v>
      </c>
      <c r="J127" s="10" t="s">
        <v>439</v>
      </c>
      <c r="K127" s="13" t="s">
        <v>1489</v>
      </c>
      <c r="L127" s="26" t="s">
        <v>660</v>
      </c>
      <c r="M127" s="11" t="s">
        <v>1490</v>
      </c>
      <c r="N127" s="11" t="s">
        <v>1491</v>
      </c>
    </row>
    <row r="128" spans="1:14" ht="317.39999999999998" thickBot="1">
      <c r="A128" s="8">
        <v>127</v>
      </c>
      <c r="B128" s="10" t="s">
        <v>1492</v>
      </c>
      <c r="C128" s="11" t="s">
        <v>1493</v>
      </c>
      <c r="D128" s="11" t="s">
        <v>1494</v>
      </c>
      <c r="E128" s="10" t="s">
        <v>279</v>
      </c>
      <c r="F128" s="10" t="s">
        <v>336</v>
      </c>
      <c r="G128" s="13" t="s">
        <v>1495</v>
      </c>
      <c r="H128" s="11" t="s">
        <v>1496</v>
      </c>
      <c r="I128" s="11" t="s">
        <v>1497</v>
      </c>
      <c r="J128" s="10" t="s">
        <v>440</v>
      </c>
      <c r="K128" s="13" t="s">
        <v>1498</v>
      </c>
      <c r="L128" s="26" t="s">
        <v>1499</v>
      </c>
      <c r="M128" s="11" t="s">
        <v>1500</v>
      </c>
      <c r="N128" s="11" t="s">
        <v>1501</v>
      </c>
    </row>
    <row r="129" spans="1:14" ht="288.60000000000002" thickBot="1">
      <c r="A129" s="8">
        <v>128</v>
      </c>
      <c r="B129" s="10" t="s">
        <v>114</v>
      </c>
      <c r="C129" s="11" t="s">
        <v>1502</v>
      </c>
      <c r="D129" s="11" t="s">
        <v>1503</v>
      </c>
      <c r="E129" s="10" t="s">
        <v>222</v>
      </c>
      <c r="F129" s="10" t="s">
        <v>339</v>
      </c>
      <c r="G129" s="13" t="s">
        <v>1504</v>
      </c>
      <c r="H129" s="11" t="s">
        <v>1505</v>
      </c>
      <c r="I129" s="11" t="s">
        <v>1506</v>
      </c>
      <c r="J129" s="10" t="s">
        <v>376</v>
      </c>
      <c r="K129" s="13" t="s">
        <v>1507</v>
      </c>
      <c r="L129" s="28" t="s">
        <v>1508</v>
      </c>
      <c r="M129" s="11" t="s">
        <v>1509</v>
      </c>
      <c r="N129" s="11" t="s">
        <v>1510</v>
      </c>
    </row>
    <row r="130" spans="1:14" ht="317.39999999999998" thickBot="1">
      <c r="A130" s="8">
        <v>129</v>
      </c>
      <c r="B130" s="10" t="s">
        <v>1511</v>
      </c>
      <c r="C130" s="11" t="s">
        <v>1512</v>
      </c>
      <c r="D130" s="11" t="s">
        <v>1513</v>
      </c>
      <c r="E130" s="10" t="s">
        <v>280</v>
      </c>
      <c r="F130" s="11" t="s">
        <v>355</v>
      </c>
      <c r="G130" s="13" t="s">
        <v>1514</v>
      </c>
      <c r="H130" s="11" t="s">
        <v>1515</v>
      </c>
      <c r="I130" s="11" t="s">
        <v>1516</v>
      </c>
      <c r="J130" s="10" t="s">
        <v>441</v>
      </c>
      <c r="K130" s="11" t="s">
        <v>660</v>
      </c>
      <c r="L130" s="26" t="s">
        <v>660</v>
      </c>
      <c r="M130" s="11" t="s">
        <v>1453</v>
      </c>
      <c r="N130" s="11" t="s">
        <v>1517</v>
      </c>
    </row>
    <row r="131" spans="1:14" ht="244.8">
      <c r="A131" s="8">
        <v>130</v>
      </c>
      <c r="B131" s="10" t="s">
        <v>115</v>
      </c>
      <c r="C131" s="11" t="s">
        <v>1518</v>
      </c>
      <c r="D131" s="11" t="s">
        <v>1519</v>
      </c>
      <c r="E131" s="10" t="s">
        <v>281</v>
      </c>
      <c r="F131" s="10" t="s">
        <v>328</v>
      </c>
      <c r="G131" s="13" t="s">
        <v>1520</v>
      </c>
      <c r="H131" s="11" t="s">
        <v>1521</v>
      </c>
      <c r="I131" s="11" t="s">
        <v>1522</v>
      </c>
      <c r="J131" s="10" t="s">
        <v>373</v>
      </c>
      <c r="K131" s="13" t="s">
        <v>1523</v>
      </c>
      <c r="L131" s="11">
        <f>91-22-67898000</f>
        <v>-67897931</v>
      </c>
      <c r="M131" s="11" t="s">
        <v>1524</v>
      </c>
      <c r="N131" s="11" t="s">
        <v>1525</v>
      </c>
    </row>
    <row r="132" spans="1:14" ht="273.60000000000002">
      <c r="A132" s="8">
        <v>131</v>
      </c>
      <c r="B132" s="10" t="s">
        <v>116</v>
      </c>
      <c r="C132" s="11" t="s">
        <v>1526</v>
      </c>
      <c r="D132" s="11" t="s">
        <v>1527</v>
      </c>
      <c r="E132" s="10" t="s">
        <v>282</v>
      </c>
      <c r="F132" s="10" t="s">
        <v>361</v>
      </c>
      <c r="G132" s="13" t="s">
        <v>783</v>
      </c>
      <c r="H132" s="29" t="s">
        <v>1528</v>
      </c>
      <c r="I132" s="11" t="s">
        <v>1529</v>
      </c>
      <c r="J132" s="10" t="s">
        <v>389</v>
      </c>
      <c r="K132" s="13" t="s">
        <v>1530</v>
      </c>
      <c r="L132" s="11" t="s">
        <v>1531</v>
      </c>
      <c r="M132" s="11" t="s">
        <v>1532</v>
      </c>
      <c r="N132" s="11" t="s">
        <v>1533</v>
      </c>
    </row>
    <row r="133" spans="1:14" ht="273.60000000000002">
      <c r="A133" s="8">
        <v>132</v>
      </c>
      <c r="B133" s="10" t="s">
        <v>117</v>
      </c>
      <c r="C133" s="11" t="s">
        <v>1534</v>
      </c>
      <c r="D133" s="11" t="s">
        <v>1535</v>
      </c>
      <c r="E133" s="10" t="s">
        <v>222</v>
      </c>
      <c r="F133" s="10" t="s">
        <v>362</v>
      </c>
      <c r="G133" s="13" t="s">
        <v>1536</v>
      </c>
      <c r="H133" s="29" t="s">
        <v>1537</v>
      </c>
      <c r="I133" s="11" t="s">
        <v>1538</v>
      </c>
      <c r="J133" s="10" t="s">
        <v>376</v>
      </c>
      <c r="K133" s="13" t="s">
        <v>1539</v>
      </c>
      <c r="L133" s="11" t="s">
        <v>1540</v>
      </c>
      <c r="M133" s="11" t="s">
        <v>1541</v>
      </c>
      <c r="N133" s="11" t="s">
        <v>1542</v>
      </c>
    </row>
    <row r="134" spans="1:14" ht="259.2">
      <c r="A134" s="8">
        <v>133</v>
      </c>
      <c r="B134" s="10" t="s">
        <v>118</v>
      </c>
      <c r="C134" s="11" t="s">
        <v>1543</v>
      </c>
      <c r="D134" s="11" t="s">
        <v>1544</v>
      </c>
      <c r="E134" s="10" t="s">
        <v>222</v>
      </c>
      <c r="F134" s="10" t="s">
        <v>347</v>
      </c>
      <c r="G134" s="13" t="s">
        <v>1545</v>
      </c>
      <c r="H134" s="29" t="s">
        <v>1546</v>
      </c>
      <c r="I134" s="11" t="s">
        <v>1547</v>
      </c>
      <c r="J134" s="10" t="s">
        <v>376</v>
      </c>
      <c r="K134" s="13" t="s">
        <v>1548</v>
      </c>
      <c r="L134" s="11" t="s">
        <v>1549</v>
      </c>
      <c r="M134" s="11" t="s">
        <v>1550</v>
      </c>
      <c r="N134" s="11" t="s">
        <v>1551</v>
      </c>
    </row>
    <row r="135" spans="1:14" ht="244.8">
      <c r="A135" s="8">
        <v>134</v>
      </c>
      <c r="B135" s="10" t="s">
        <v>1552</v>
      </c>
      <c r="C135" s="11" t="s">
        <v>1553</v>
      </c>
      <c r="D135" s="11" t="s">
        <v>1554</v>
      </c>
      <c r="E135" s="10" t="s">
        <v>283</v>
      </c>
      <c r="F135" s="10" t="s">
        <v>362</v>
      </c>
      <c r="G135" s="13" t="s">
        <v>1555</v>
      </c>
      <c r="H135" s="29" t="s">
        <v>1556</v>
      </c>
      <c r="I135" s="11" t="s">
        <v>1557</v>
      </c>
      <c r="J135" s="10" t="s">
        <v>442</v>
      </c>
      <c r="K135" s="13" t="s">
        <v>1558</v>
      </c>
      <c r="L135" s="11" t="s">
        <v>1559</v>
      </c>
      <c r="M135" s="11" t="s">
        <v>1560</v>
      </c>
      <c r="N135" s="11" t="s">
        <v>1561</v>
      </c>
    </row>
    <row r="136" spans="1:14" ht="273.60000000000002">
      <c r="A136" s="8">
        <v>135</v>
      </c>
      <c r="B136" s="10" t="s">
        <v>1562</v>
      </c>
      <c r="C136" s="11" t="s">
        <v>1563</v>
      </c>
      <c r="D136" s="11" t="s">
        <v>1564</v>
      </c>
      <c r="E136" s="10" t="s">
        <v>284</v>
      </c>
      <c r="F136" s="10" t="s">
        <v>347</v>
      </c>
      <c r="G136" s="13" t="s">
        <v>1565</v>
      </c>
      <c r="H136" s="29" t="s">
        <v>1566</v>
      </c>
      <c r="I136" s="11" t="s">
        <v>1567</v>
      </c>
      <c r="J136" s="10" t="s">
        <v>443</v>
      </c>
      <c r="K136" s="13" t="s">
        <v>1568</v>
      </c>
      <c r="L136" s="11" t="s">
        <v>1569</v>
      </c>
      <c r="M136" s="11" t="s">
        <v>1570</v>
      </c>
      <c r="N136" s="11" t="s">
        <v>1571</v>
      </c>
    </row>
    <row r="137" spans="1:14" ht="244.8">
      <c r="A137" s="8">
        <v>136</v>
      </c>
      <c r="B137" s="10" t="s">
        <v>1572</v>
      </c>
      <c r="C137" s="11" t="s">
        <v>1573</v>
      </c>
      <c r="D137" s="11" t="s">
        <v>1574</v>
      </c>
      <c r="E137" s="10" t="s">
        <v>285</v>
      </c>
      <c r="F137" s="10" t="s">
        <v>347</v>
      </c>
      <c r="G137" s="13" t="s">
        <v>1575</v>
      </c>
      <c r="H137" s="29" t="s">
        <v>1576</v>
      </c>
      <c r="I137" s="11" t="s">
        <v>1577</v>
      </c>
      <c r="J137" s="10" t="s">
        <v>444</v>
      </c>
      <c r="K137" s="13" t="s">
        <v>1578</v>
      </c>
      <c r="L137" s="11" t="s">
        <v>1579</v>
      </c>
      <c r="M137" s="11" t="s">
        <v>1580</v>
      </c>
      <c r="N137" s="11" t="s">
        <v>1581</v>
      </c>
    </row>
    <row r="138" spans="1:14" ht="331.2">
      <c r="A138" s="8">
        <v>137</v>
      </c>
      <c r="B138" s="10" t="s">
        <v>119</v>
      </c>
      <c r="C138" s="11" t="s">
        <v>1582</v>
      </c>
      <c r="D138" s="11" t="s">
        <v>1583</v>
      </c>
      <c r="E138" s="10" t="s">
        <v>222</v>
      </c>
      <c r="F138" s="10" t="s">
        <v>331</v>
      </c>
      <c r="G138" s="13" t="s">
        <v>1584</v>
      </c>
      <c r="H138" s="11" t="s">
        <v>1585</v>
      </c>
      <c r="I138" s="11" t="s">
        <v>1586</v>
      </c>
      <c r="J138" s="10" t="s">
        <v>376</v>
      </c>
      <c r="K138" s="13" t="s">
        <v>1587</v>
      </c>
      <c r="L138" s="11" t="s">
        <v>1588</v>
      </c>
      <c r="M138" s="11" t="s">
        <v>1589</v>
      </c>
      <c r="N138" s="11" t="s">
        <v>1590</v>
      </c>
    </row>
    <row r="139" spans="1:14" ht="201.6">
      <c r="A139" s="8">
        <v>138</v>
      </c>
      <c r="B139" s="10" t="s">
        <v>120</v>
      </c>
      <c r="C139" s="10" t="s">
        <v>1591</v>
      </c>
      <c r="D139" s="11" t="s">
        <v>1592</v>
      </c>
      <c r="E139" s="10" t="s">
        <v>222</v>
      </c>
      <c r="F139" s="10" t="s">
        <v>332</v>
      </c>
      <c r="G139" s="13" t="s">
        <v>1593</v>
      </c>
      <c r="H139" s="11" t="s">
        <v>1594</v>
      </c>
      <c r="I139" s="11" t="s">
        <v>1595</v>
      </c>
      <c r="J139" s="10" t="s">
        <v>376</v>
      </c>
      <c r="K139" s="13" t="s">
        <v>1596</v>
      </c>
      <c r="L139" s="11" t="s">
        <v>1597</v>
      </c>
      <c r="M139" s="11" t="s">
        <v>1598</v>
      </c>
      <c r="N139" s="11" t="s">
        <v>1599</v>
      </c>
    </row>
    <row r="140" spans="1:14" ht="244.8">
      <c r="A140" s="8">
        <v>139</v>
      </c>
      <c r="B140" s="10" t="s">
        <v>121</v>
      </c>
      <c r="C140" s="10" t="s">
        <v>1600</v>
      </c>
      <c r="D140" s="11" t="s">
        <v>1601</v>
      </c>
      <c r="E140" s="10" t="s">
        <v>222</v>
      </c>
      <c r="F140" s="10" t="s">
        <v>332</v>
      </c>
      <c r="G140" s="13" t="s">
        <v>1602</v>
      </c>
      <c r="H140" s="11" t="s">
        <v>1603</v>
      </c>
      <c r="I140" s="11" t="s">
        <v>1604</v>
      </c>
      <c r="J140" s="10" t="s">
        <v>376</v>
      </c>
      <c r="K140" s="13" t="s">
        <v>1605</v>
      </c>
      <c r="L140" s="11" t="s">
        <v>1606</v>
      </c>
      <c r="M140" s="11" t="s">
        <v>1607</v>
      </c>
      <c r="N140" s="11" t="s">
        <v>1608</v>
      </c>
    </row>
    <row r="141" spans="1:14" ht="201.6">
      <c r="A141" s="8">
        <v>140</v>
      </c>
      <c r="B141" s="10" t="s">
        <v>122</v>
      </c>
      <c r="C141" s="10" t="s">
        <v>1609</v>
      </c>
      <c r="D141" s="11" t="s">
        <v>1610</v>
      </c>
      <c r="E141" s="10" t="s">
        <v>286</v>
      </c>
      <c r="F141" s="10" t="s">
        <v>342</v>
      </c>
      <c r="G141" s="13" t="s">
        <v>1611</v>
      </c>
      <c r="H141" s="11" t="s">
        <v>1612</v>
      </c>
      <c r="I141" s="11" t="s">
        <v>1613</v>
      </c>
      <c r="J141" s="10" t="s">
        <v>373</v>
      </c>
      <c r="K141" s="13" t="s">
        <v>1614</v>
      </c>
      <c r="L141" s="11">
        <f>91-370-227-31</f>
        <v>-537</v>
      </c>
      <c r="M141" s="11" t="s">
        <v>1615</v>
      </c>
      <c r="N141" s="11" t="s">
        <v>1616</v>
      </c>
    </row>
    <row r="142" spans="1:14" ht="224.4">
      <c r="A142" s="8">
        <v>141</v>
      </c>
      <c r="B142" s="10" t="s">
        <v>1617</v>
      </c>
      <c r="C142" s="10" t="s">
        <v>1618</v>
      </c>
      <c r="D142" s="11" t="s">
        <v>1619</v>
      </c>
      <c r="E142" s="10" t="s">
        <v>287</v>
      </c>
      <c r="F142" s="10" t="s">
        <v>342</v>
      </c>
      <c r="G142" s="13" t="s">
        <v>1620</v>
      </c>
      <c r="H142" s="11" t="s">
        <v>1621</v>
      </c>
      <c r="I142" s="11" t="s">
        <v>1622</v>
      </c>
      <c r="J142" s="10" t="s">
        <v>445</v>
      </c>
      <c r="K142" s="13" t="s">
        <v>1623</v>
      </c>
      <c r="L142" s="11" t="s">
        <v>1624</v>
      </c>
      <c r="M142" s="11" t="s">
        <v>1625</v>
      </c>
      <c r="N142" s="11" t="s">
        <v>1626</v>
      </c>
    </row>
    <row r="143" spans="1:14" ht="273.60000000000002">
      <c r="A143" s="8">
        <v>142</v>
      </c>
      <c r="B143" s="10" t="s">
        <v>123</v>
      </c>
      <c r="C143" s="10" t="s">
        <v>1627</v>
      </c>
      <c r="D143" s="11" t="s">
        <v>1628</v>
      </c>
      <c r="E143" s="10" t="s">
        <v>288</v>
      </c>
      <c r="F143" s="10" t="s">
        <v>332</v>
      </c>
      <c r="G143" s="13" t="s">
        <v>1629</v>
      </c>
      <c r="H143" s="11" t="s">
        <v>1630</v>
      </c>
      <c r="I143" s="11" t="s">
        <v>1631</v>
      </c>
      <c r="J143" s="10" t="s">
        <v>399</v>
      </c>
      <c r="K143" s="11" t="s">
        <v>1632</v>
      </c>
      <c r="L143" s="11">
        <f>91-674-247-4052</f>
        <v>-4882</v>
      </c>
      <c r="M143" s="11" t="s">
        <v>1633</v>
      </c>
      <c r="N143" s="11" t="s">
        <v>1634</v>
      </c>
    </row>
    <row r="144" spans="1:14" ht="237.6">
      <c r="A144" s="8">
        <v>143</v>
      </c>
      <c r="B144" s="10" t="s">
        <v>124</v>
      </c>
      <c r="C144" s="10" t="s">
        <v>1635</v>
      </c>
      <c r="D144" s="11" t="s">
        <v>1636</v>
      </c>
      <c r="E144" s="10" t="s">
        <v>222</v>
      </c>
      <c r="F144" s="10" t="s">
        <v>337</v>
      </c>
      <c r="G144" s="13" t="s">
        <v>1637</v>
      </c>
      <c r="H144" s="11" t="s">
        <v>1638</v>
      </c>
      <c r="I144" s="11" t="s">
        <v>1639</v>
      </c>
      <c r="J144" s="10" t="s">
        <v>446</v>
      </c>
      <c r="K144" s="13" t="s">
        <v>1640</v>
      </c>
      <c r="L144" s="11">
        <f>91-20-2590-8023</f>
        <v>-10542</v>
      </c>
      <c r="M144" s="11" t="s">
        <v>1641</v>
      </c>
      <c r="N144" s="11" t="s">
        <v>1642</v>
      </c>
    </row>
    <row r="145" spans="1:14" ht="273.60000000000002">
      <c r="A145" s="8">
        <v>144</v>
      </c>
      <c r="B145" s="13" t="s">
        <v>125</v>
      </c>
      <c r="C145" s="10" t="s">
        <v>1643</v>
      </c>
      <c r="D145" s="11" t="s">
        <v>1644</v>
      </c>
      <c r="E145" s="10" t="s">
        <v>222</v>
      </c>
      <c r="F145" s="10" t="s">
        <v>329</v>
      </c>
      <c r="G145" s="11" t="s">
        <v>1645</v>
      </c>
      <c r="H145" s="11" t="s">
        <v>1646</v>
      </c>
      <c r="I145" s="11" t="s">
        <v>1647</v>
      </c>
      <c r="J145" s="10" t="s">
        <v>447</v>
      </c>
      <c r="K145" s="13" t="s">
        <v>1648</v>
      </c>
      <c r="L145" s="11" t="s">
        <v>1649</v>
      </c>
      <c r="M145" s="11" t="s">
        <v>1650</v>
      </c>
      <c r="N145" s="11" t="s">
        <v>1651</v>
      </c>
    </row>
    <row r="146" spans="1:14" ht="259.2">
      <c r="A146" s="8">
        <v>145</v>
      </c>
      <c r="B146" s="10" t="s">
        <v>1652</v>
      </c>
      <c r="C146" s="10" t="s">
        <v>1653</v>
      </c>
      <c r="D146" s="11" t="s">
        <v>1654</v>
      </c>
      <c r="E146" s="10" t="s">
        <v>289</v>
      </c>
      <c r="F146" s="10" t="s">
        <v>329</v>
      </c>
      <c r="G146" s="13" t="s">
        <v>1655</v>
      </c>
      <c r="H146" s="11" t="s">
        <v>1656</v>
      </c>
      <c r="I146" s="11" t="s">
        <v>1657</v>
      </c>
      <c r="J146" s="10" t="s">
        <v>448</v>
      </c>
      <c r="K146" s="13" t="s">
        <v>1648</v>
      </c>
      <c r="L146" s="11" t="s">
        <v>1658</v>
      </c>
      <c r="M146" s="11" t="s">
        <v>1659</v>
      </c>
      <c r="N146" s="11" t="s">
        <v>1660</v>
      </c>
    </row>
    <row r="147" spans="1:14" ht="259.2">
      <c r="A147" s="8">
        <v>146</v>
      </c>
      <c r="B147" s="13" t="s">
        <v>126</v>
      </c>
      <c r="C147" s="10" t="s">
        <v>1661</v>
      </c>
      <c r="D147" s="11" t="s">
        <v>1662</v>
      </c>
      <c r="E147" s="10" t="s">
        <v>290</v>
      </c>
      <c r="F147" s="10" t="s">
        <v>363</v>
      </c>
      <c r="G147" s="13" t="s">
        <v>1655</v>
      </c>
      <c r="H147" s="11" t="s">
        <v>1663</v>
      </c>
      <c r="I147" s="11" t="s">
        <v>1664</v>
      </c>
      <c r="J147" s="10" t="s">
        <v>389</v>
      </c>
      <c r="K147" s="13" t="s">
        <v>1648</v>
      </c>
      <c r="L147" s="11" t="s">
        <v>1658</v>
      </c>
      <c r="M147" s="11" t="s">
        <v>1665</v>
      </c>
      <c r="N147" s="11" t="s">
        <v>1660</v>
      </c>
    </row>
    <row r="148" spans="1:14" ht="374.4">
      <c r="A148" s="8">
        <v>147</v>
      </c>
      <c r="B148" s="10" t="s">
        <v>127</v>
      </c>
      <c r="C148" s="10" t="s">
        <v>1666</v>
      </c>
      <c r="D148" s="11" t="s">
        <v>1667</v>
      </c>
      <c r="E148" s="10" t="s">
        <v>222</v>
      </c>
      <c r="F148" s="10" t="s">
        <v>364</v>
      </c>
      <c r="G148" s="13" t="s">
        <v>1668</v>
      </c>
      <c r="H148" s="11" t="s">
        <v>1669</v>
      </c>
      <c r="I148" s="11" t="s">
        <v>1670</v>
      </c>
      <c r="J148" s="10" t="s">
        <v>449</v>
      </c>
      <c r="K148" s="13" t="s">
        <v>1671</v>
      </c>
      <c r="L148" s="11" t="s">
        <v>1672</v>
      </c>
      <c r="M148" s="11" t="s">
        <v>1673</v>
      </c>
      <c r="N148" s="11" t="s">
        <v>1674</v>
      </c>
    </row>
    <row r="149" spans="1:14" ht="273.60000000000002">
      <c r="A149" s="8">
        <v>148</v>
      </c>
      <c r="B149" s="10" t="s">
        <v>128</v>
      </c>
      <c r="C149" s="10" t="s">
        <v>1675</v>
      </c>
      <c r="D149" s="11" t="s">
        <v>1676</v>
      </c>
      <c r="E149" s="10" t="s">
        <v>291</v>
      </c>
      <c r="F149" s="10" t="s">
        <v>365</v>
      </c>
      <c r="G149" s="13" t="s">
        <v>1677</v>
      </c>
      <c r="H149" s="11" t="s">
        <v>1678</v>
      </c>
      <c r="I149" s="11" t="s">
        <v>1679</v>
      </c>
      <c r="J149" s="10" t="s">
        <v>373</v>
      </c>
      <c r="K149" s="13" t="s">
        <v>1680</v>
      </c>
      <c r="L149" s="11" t="s">
        <v>1681</v>
      </c>
      <c r="M149" s="11" t="s">
        <v>1682</v>
      </c>
      <c r="N149" s="11" t="s">
        <v>1683</v>
      </c>
    </row>
    <row r="150" spans="1:14" ht="144">
      <c r="A150" s="8">
        <v>149</v>
      </c>
      <c r="B150" s="10" t="s">
        <v>1684</v>
      </c>
      <c r="C150" s="10" t="s">
        <v>1685</v>
      </c>
      <c r="D150" s="11" t="s">
        <v>1686</v>
      </c>
      <c r="E150" s="10" t="s">
        <v>292</v>
      </c>
      <c r="F150" s="10" t="s">
        <v>364</v>
      </c>
      <c r="G150" s="13" t="s">
        <v>1687</v>
      </c>
      <c r="H150" s="11" t="s">
        <v>1688</v>
      </c>
      <c r="I150" s="11" t="s">
        <v>1689</v>
      </c>
      <c r="J150" s="10" t="s">
        <v>450</v>
      </c>
      <c r="K150" s="13" t="s">
        <v>1690</v>
      </c>
      <c r="L150" s="11" t="s">
        <v>1691</v>
      </c>
      <c r="M150" s="11" t="s">
        <v>1692</v>
      </c>
      <c r="N150" s="11" t="s">
        <v>1693</v>
      </c>
    </row>
    <row r="151" spans="1:14" ht="345.6">
      <c r="A151" s="8">
        <v>150</v>
      </c>
      <c r="B151" s="10" t="s">
        <v>129</v>
      </c>
      <c r="C151" s="10" t="s">
        <v>1694</v>
      </c>
      <c r="D151" s="11" t="s">
        <v>1695</v>
      </c>
      <c r="E151" s="10" t="s">
        <v>225</v>
      </c>
      <c r="F151" s="10" t="s">
        <v>366</v>
      </c>
      <c r="G151" s="13" t="s">
        <v>1696</v>
      </c>
      <c r="H151" s="11" t="s">
        <v>1697</v>
      </c>
      <c r="I151" s="11" t="s">
        <v>1698</v>
      </c>
      <c r="J151" s="10" t="s">
        <v>451</v>
      </c>
      <c r="K151" s="13" t="s">
        <v>1648</v>
      </c>
      <c r="L151" s="11" t="s">
        <v>1672</v>
      </c>
      <c r="M151" s="11" t="s">
        <v>1699</v>
      </c>
      <c r="N151" s="11" t="s">
        <v>1700</v>
      </c>
    </row>
    <row r="152" spans="1:14" ht="224.4">
      <c r="A152" s="8">
        <v>151</v>
      </c>
      <c r="B152" s="10" t="s">
        <v>130</v>
      </c>
      <c r="C152" s="10" t="s">
        <v>1701</v>
      </c>
      <c r="D152" s="11" t="s">
        <v>1702</v>
      </c>
      <c r="E152" s="10" t="s">
        <v>293</v>
      </c>
      <c r="F152" s="10" t="s">
        <v>355</v>
      </c>
      <c r="G152" s="13" t="s">
        <v>1703</v>
      </c>
      <c r="H152" s="11" t="s">
        <v>1704</v>
      </c>
      <c r="I152" s="11" t="s">
        <v>1705</v>
      </c>
      <c r="J152" s="10" t="s">
        <v>373</v>
      </c>
      <c r="K152" s="13" t="s">
        <v>1648</v>
      </c>
      <c r="L152" s="11" t="s">
        <v>1706</v>
      </c>
      <c r="M152" s="11" t="s">
        <v>1707</v>
      </c>
      <c r="N152" s="11" t="s">
        <v>1708</v>
      </c>
    </row>
    <row r="153" spans="1:14" ht="288">
      <c r="A153" s="8">
        <v>152</v>
      </c>
      <c r="B153" s="10" t="s">
        <v>130</v>
      </c>
      <c r="C153" s="10" t="s">
        <v>1709</v>
      </c>
      <c r="D153" s="11" t="s">
        <v>1710</v>
      </c>
      <c r="E153" s="10" t="s">
        <v>294</v>
      </c>
      <c r="F153" s="11" t="s">
        <v>1711</v>
      </c>
      <c r="G153" s="13" t="s">
        <v>1703</v>
      </c>
      <c r="H153" s="11" t="s">
        <v>1712</v>
      </c>
      <c r="I153" s="11" t="s">
        <v>1713</v>
      </c>
      <c r="J153" s="10" t="s">
        <v>452</v>
      </c>
      <c r="K153" s="13" t="s">
        <v>1648</v>
      </c>
      <c r="L153" s="11" t="s">
        <v>1706</v>
      </c>
      <c r="M153" s="11" t="s">
        <v>1714</v>
      </c>
      <c r="N153" s="11" t="s">
        <v>1715</v>
      </c>
    </row>
    <row r="154" spans="1:14" ht="230.4">
      <c r="A154" s="8">
        <v>153</v>
      </c>
      <c r="B154" s="10" t="s">
        <v>1716</v>
      </c>
      <c r="C154" s="10" t="s">
        <v>1717</v>
      </c>
      <c r="D154" s="11" t="s">
        <v>1718</v>
      </c>
      <c r="E154" s="10" t="s">
        <v>295</v>
      </c>
      <c r="F154" s="10" t="s">
        <v>355</v>
      </c>
      <c r="G154" s="13" t="s">
        <v>1719</v>
      </c>
      <c r="H154" s="11" t="s">
        <v>1720</v>
      </c>
      <c r="I154" s="11" t="s">
        <v>1721</v>
      </c>
      <c r="J154" s="10" t="s">
        <v>453</v>
      </c>
      <c r="K154" s="13" t="s">
        <v>1648</v>
      </c>
      <c r="L154" s="11" t="s">
        <v>1722</v>
      </c>
      <c r="M154" s="11" t="s">
        <v>1723</v>
      </c>
      <c r="N154" s="11" t="s">
        <v>1724</v>
      </c>
    </row>
    <row r="155" spans="1:14" ht="201.6">
      <c r="A155" s="8">
        <v>154</v>
      </c>
      <c r="B155" s="10" t="s">
        <v>131</v>
      </c>
      <c r="C155" s="11" t="s">
        <v>1725</v>
      </c>
      <c r="D155" s="11" t="s">
        <v>1726</v>
      </c>
      <c r="E155" s="10" t="s">
        <v>222</v>
      </c>
      <c r="F155" s="10" t="s">
        <v>345</v>
      </c>
      <c r="G155" s="13" t="s">
        <v>1727</v>
      </c>
      <c r="H155" s="11" t="s">
        <v>1728</v>
      </c>
      <c r="I155" s="11" t="s">
        <v>1729</v>
      </c>
      <c r="J155" s="10" t="s">
        <v>376</v>
      </c>
      <c r="K155" s="13" t="s">
        <v>1648</v>
      </c>
      <c r="L155" s="11" t="s">
        <v>1730</v>
      </c>
      <c r="M155" s="11" t="s">
        <v>1731</v>
      </c>
      <c r="N155" s="11" t="s">
        <v>1732</v>
      </c>
    </row>
    <row r="156" spans="1:14" ht="187.2">
      <c r="A156" s="8">
        <v>155</v>
      </c>
      <c r="B156" s="10" t="s">
        <v>132</v>
      </c>
      <c r="C156" s="10" t="s">
        <v>1733</v>
      </c>
      <c r="D156" s="11" t="s">
        <v>1734</v>
      </c>
      <c r="E156" s="10" t="s">
        <v>222</v>
      </c>
      <c r="F156" s="10" t="s">
        <v>355</v>
      </c>
      <c r="G156" s="13" t="s">
        <v>1727</v>
      </c>
      <c r="H156" s="11" t="s">
        <v>1735</v>
      </c>
      <c r="I156" s="11" t="s">
        <v>1736</v>
      </c>
      <c r="J156" s="10" t="s">
        <v>376</v>
      </c>
      <c r="K156" s="13" t="s">
        <v>1648</v>
      </c>
      <c r="L156" s="11" t="s">
        <v>1730</v>
      </c>
      <c r="M156" s="11" t="s">
        <v>1731</v>
      </c>
      <c r="N156" s="11" t="s">
        <v>1732</v>
      </c>
    </row>
    <row r="157" spans="1:14" ht="259.2">
      <c r="A157" s="8">
        <v>156</v>
      </c>
      <c r="B157" s="10" t="s">
        <v>133</v>
      </c>
      <c r="C157" s="10" t="s">
        <v>1737</v>
      </c>
      <c r="D157" s="11" t="s">
        <v>1738</v>
      </c>
      <c r="E157" s="10" t="s">
        <v>296</v>
      </c>
      <c r="F157" s="10" t="s">
        <v>334</v>
      </c>
      <c r="G157" s="13" t="s">
        <v>1739</v>
      </c>
      <c r="H157" s="11" t="s">
        <v>1740</v>
      </c>
      <c r="I157" s="11" t="s">
        <v>1741</v>
      </c>
      <c r="J157" s="10" t="s">
        <v>399</v>
      </c>
      <c r="K157" s="13" t="s">
        <v>1648</v>
      </c>
      <c r="L157" s="11" t="s">
        <v>1742</v>
      </c>
      <c r="M157" s="11" t="s">
        <v>1743</v>
      </c>
      <c r="N157" s="11" t="s">
        <v>1744</v>
      </c>
    </row>
    <row r="158" spans="1:14" ht="172.8">
      <c r="A158" s="8">
        <v>157</v>
      </c>
      <c r="B158" s="10" t="s">
        <v>1745</v>
      </c>
      <c r="C158" s="10" t="s">
        <v>1746</v>
      </c>
      <c r="D158" s="11" t="s">
        <v>1747</v>
      </c>
      <c r="E158" s="10" t="s">
        <v>297</v>
      </c>
      <c r="F158" s="10" t="s">
        <v>355</v>
      </c>
      <c r="G158" s="13" t="s">
        <v>1748</v>
      </c>
      <c r="H158" s="11" t="s">
        <v>1749</v>
      </c>
      <c r="I158" s="11" t="s">
        <v>1750</v>
      </c>
      <c r="J158" s="10" t="s">
        <v>454</v>
      </c>
      <c r="K158" s="13" t="s">
        <v>1648</v>
      </c>
      <c r="L158" s="11" t="s">
        <v>1751</v>
      </c>
      <c r="M158" s="11" t="s">
        <v>1752</v>
      </c>
      <c r="N158" s="11" t="s">
        <v>1753</v>
      </c>
    </row>
    <row r="159" spans="1:14" ht="129.6">
      <c r="A159" s="8">
        <v>158</v>
      </c>
      <c r="B159" s="10" t="s">
        <v>134</v>
      </c>
      <c r="C159" s="10" t="s">
        <v>1754</v>
      </c>
      <c r="D159" s="11" t="s">
        <v>1755</v>
      </c>
      <c r="E159" s="10" t="s">
        <v>298</v>
      </c>
      <c r="F159" s="10" t="s">
        <v>340</v>
      </c>
      <c r="G159" s="13" t="s">
        <v>1756</v>
      </c>
      <c r="H159" s="11" t="s">
        <v>1757</v>
      </c>
      <c r="I159" s="11" t="s">
        <v>1758</v>
      </c>
      <c r="J159" s="10" t="s">
        <v>389</v>
      </c>
      <c r="K159" s="13" t="s">
        <v>1648</v>
      </c>
      <c r="L159" s="11" t="s">
        <v>1759</v>
      </c>
      <c r="M159" s="11" t="s">
        <v>1760</v>
      </c>
      <c r="N159" s="11" t="s">
        <v>1761</v>
      </c>
    </row>
    <row r="160" spans="1:14" ht="187.2">
      <c r="A160" s="8">
        <v>159</v>
      </c>
      <c r="B160" s="10" t="s">
        <v>135</v>
      </c>
      <c r="C160" s="10" t="s">
        <v>1762</v>
      </c>
      <c r="D160" s="11" t="s">
        <v>1763</v>
      </c>
      <c r="E160" s="10" t="s">
        <v>299</v>
      </c>
      <c r="F160" s="10" t="s">
        <v>342</v>
      </c>
      <c r="G160" s="13" t="s">
        <v>1764</v>
      </c>
      <c r="H160" s="11" t="s">
        <v>1765</v>
      </c>
      <c r="I160" s="11" t="s">
        <v>1766</v>
      </c>
      <c r="J160" s="10" t="s">
        <v>389</v>
      </c>
      <c r="K160" s="13" t="s">
        <v>1648</v>
      </c>
      <c r="L160" s="11" t="s">
        <v>1767</v>
      </c>
      <c r="M160" s="11" t="s">
        <v>1768</v>
      </c>
      <c r="N160" s="11" t="s">
        <v>1769</v>
      </c>
    </row>
    <row r="161" spans="1:14" ht="230.4">
      <c r="A161" s="8">
        <v>160</v>
      </c>
      <c r="B161" s="10" t="s">
        <v>136</v>
      </c>
      <c r="C161" s="10" t="s">
        <v>1770</v>
      </c>
      <c r="D161" s="11" t="s">
        <v>1771</v>
      </c>
      <c r="E161" s="10" t="s">
        <v>225</v>
      </c>
      <c r="F161" s="10" t="s">
        <v>350</v>
      </c>
      <c r="G161" s="13" t="s">
        <v>1772</v>
      </c>
      <c r="H161" s="11" t="s">
        <v>1773</v>
      </c>
      <c r="I161" s="11" t="s">
        <v>1774</v>
      </c>
      <c r="J161" s="10" t="s">
        <v>455</v>
      </c>
      <c r="K161" s="13" t="s">
        <v>1648</v>
      </c>
      <c r="L161" s="11" t="s">
        <v>1775</v>
      </c>
      <c r="M161" s="11" t="s">
        <v>1776</v>
      </c>
      <c r="N161" s="11" t="s">
        <v>1777</v>
      </c>
    </row>
    <row r="162" spans="1:14" ht="264">
      <c r="A162" s="8">
        <v>161</v>
      </c>
      <c r="B162" s="10" t="s">
        <v>137</v>
      </c>
      <c r="C162" s="10" t="s">
        <v>1778</v>
      </c>
      <c r="D162" s="11" t="s">
        <v>1779</v>
      </c>
      <c r="E162" s="10" t="s">
        <v>240</v>
      </c>
      <c r="F162" s="10" t="s">
        <v>340</v>
      </c>
      <c r="G162" s="13" t="s">
        <v>1780</v>
      </c>
      <c r="H162" s="11" t="s">
        <v>1781</v>
      </c>
      <c r="I162" s="11" t="s">
        <v>1782</v>
      </c>
      <c r="J162" s="10" t="s">
        <v>389</v>
      </c>
      <c r="K162" s="13" t="s">
        <v>1783</v>
      </c>
      <c r="L162" s="11" t="s">
        <v>1784</v>
      </c>
      <c r="M162" s="11" t="s">
        <v>1785</v>
      </c>
      <c r="N162" s="11" t="s">
        <v>1786</v>
      </c>
    </row>
    <row r="163" spans="1:14" ht="250.8">
      <c r="A163" s="8">
        <v>162</v>
      </c>
      <c r="B163" s="10" t="s">
        <v>138</v>
      </c>
      <c r="C163" s="10" t="s">
        <v>1787</v>
      </c>
      <c r="D163" s="11" t="s">
        <v>1788</v>
      </c>
      <c r="E163" s="10" t="s">
        <v>222</v>
      </c>
      <c r="F163" s="10" t="s">
        <v>327</v>
      </c>
      <c r="G163" s="13" t="s">
        <v>725</v>
      </c>
      <c r="H163" s="11" t="s">
        <v>1789</v>
      </c>
      <c r="I163" s="11" t="s">
        <v>1790</v>
      </c>
      <c r="J163" s="10" t="s">
        <v>138</v>
      </c>
      <c r="K163" s="13" t="s">
        <v>1791</v>
      </c>
      <c r="L163" s="11" t="s">
        <v>1792</v>
      </c>
      <c r="M163" s="11" t="s">
        <v>1793</v>
      </c>
      <c r="N163" s="11" t="s">
        <v>1794</v>
      </c>
    </row>
    <row r="164" spans="1:14" ht="264">
      <c r="A164" s="8">
        <v>163</v>
      </c>
      <c r="B164" s="10" t="s">
        <v>139</v>
      </c>
      <c r="C164" s="10" t="s">
        <v>1795</v>
      </c>
      <c r="D164" s="11" t="s">
        <v>1796</v>
      </c>
      <c r="E164" s="10" t="s">
        <v>222</v>
      </c>
      <c r="F164" s="10" t="s">
        <v>332</v>
      </c>
      <c r="G164" s="13" t="s">
        <v>1797</v>
      </c>
      <c r="H164" s="11" t="s">
        <v>1798</v>
      </c>
      <c r="I164" s="11" t="s">
        <v>1799</v>
      </c>
      <c r="J164" s="10" t="s">
        <v>456</v>
      </c>
      <c r="K164" s="13" t="s">
        <v>1800</v>
      </c>
      <c r="L164" s="11" t="s">
        <v>1801</v>
      </c>
      <c r="M164" s="11" t="s">
        <v>1802</v>
      </c>
      <c r="N164" s="11" t="s">
        <v>1803</v>
      </c>
    </row>
    <row r="165" spans="1:14" ht="224.4">
      <c r="A165" s="8">
        <v>164</v>
      </c>
      <c r="B165" s="10" t="s">
        <v>140</v>
      </c>
      <c r="C165" s="10" t="s">
        <v>1804</v>
      </c>
      <c r="D165" s="11" t="s">
        <v>1805</v>
      </c>
      <c r="E165" s="10" t="s">
        <v>222</v>
      </c>
      <c r="F165" s="10" t="s">
        <v>328</v>
      </c>
      <c r="G165" s="13" t="s">
        <v>1806</v>
      </c>
      <c r="H165" s="11" t="s">
        <v>1807</v>
      </c>
      <c r="I165" s="11" t="s">
        <v>1808</v>
      </c>
      <c r="J165" s="10" t="s">
        <v>457</v>
      </c>
      <c r="K165" s="13" t="s">
        <v>1809</v>
      </c>
      <c r="L165" s="11">
        <f>91-120-2328300</f>
        <v>-2328329</v>
      </c>
      <c r="M165" s="11" t="s">
        <v>1810</v>
      </c>
      <c r="N165" s="11" t="s">
        <v>1811</v>
      </c>
    </row>
    <row r="166" spans="1:14" ht="237.6">
      <c r="A166" s="8">
        <v>165</v>
      </c>
      <c r="B166" s="10" t="s">
        <v>1812</v>
      </c>
      <c r="C166" s="10" t="s">
        <v>1813</v>
      </c>
      <c r="D166" s="11" t="s">
        <v>1814</v>
      </c>
      <c r="E166" s="10" t="s">
        <v>300</v>
      </c>
      <c r="F166" s="10" t="s">
        <v>355</v>
      </c>
      <c r="G166" s="13" t="s">
        <v>1815</v>
      </c>
      <c r="H166" s="11" t="s">
        <v>1816</v>
      </c>
      <c r="I166" s="11" t="s">
        <v>1817</v>
      </c>
      <c r="J166" s="11" t="s">
        <v>1818</v>
      </c>
      <c r="K166" s="13" t="s">
        <v>1819</v>
      </c>
      <c r="L166" s="11">
        <f>91-1234-567890</f>
        <v>-569033</v>
      </c>
      <c r="M166" s="11" t="s">
        <v>1820</v>
      </c>
      <c r="N166" s="11" t="s">
        <v>1821</v>
      </c>
    </row>
    <row r="167" spans="1:14" ht="288">
      <c r="A167" s="8">
        <v>166</v>
      </c>
      <c r="B167" s="10" t="s">
        <v>1812</v>
      </c>
      <c r="C167" s="10" t="s">
        <v>1822</v>
      </c>
      <c r="D167" s="11" t="s">
        <v>1823</v>
      </c>
      <c r="E167" s="10" t="s">
        <v>300</v>
      </c>
      <c r="F167" s="10" t="s">
        <v>355</v>
      </c>
      <c r="G167" s="13" t="s">
        <v>1824</v>
      </c>
      <c r="H167" s="11" t="s">
        <v>1825</v>
      </c>
      <c r="I167" s="11" t="s">
        <v>1826</v>
      </c>
      <c r="J167" s="11" t="s">
        <v>1818</v>
      </c>
      <c r="K167" s="13" t="s">
        <v>1827</v>
      </c>
      <c r="L167" s="11">
        <f>91-11-2675-2431</f>
        <v>-5026</v>
      </c>
      <c r="M167" s="11" t="s">
        <v>1828</v>
      </c>
      <c r="N167" s="11" t="s">
        <v>1829</v>
      </c>
    </row>
    <row r="168" spans="1:14" ht="264">
      <c r="A168" s="8">
        <v>167</v>
      </c>
      <c r="B168" s="10" t="s">
        <v>141</v>
      </c>
      <c r="C168" s="10" t="s">
        <v>1830</v>
      </c>
      <c r="D168" s="11" t="s">
        <v>1831</v>
      </c>
      <c r="E168" s="10" t="s">
        <v>225</v>
      </c>
      <c r="F168" s="10" t="s">
        <v>332</v>
      </c>
      <c r="G168" s="13" t="s">
        <v>1832</v>
      </c>
      <c r="H168" s="11" t="s">
        <v>1833</v>
      </c>
      <c r="I168" s="11" t="s">
        <v>1834</v>
      </c>
      <c r="J168" s="10" t="s">
        <v>458</v>
      </c>
      <c r="K168" s="13" t="s">
        <v>1835</v>
      </c>
      <c r="L168" s="11">
        <f>91-124-661-4050</f>
        <v>-4744</v>
      </c>
      <c r="M168" s="11" t="s">
        <v>1836</v>
      </c>
      <c r="N168" s="11" t="s">
        <v>1837</v>
      </c>
    </row>
    <row r="169" spans="1:14" ht="345.6">
      <c r="A169" s="8">
        <v>168</v>
      </c>
      <c r="B169" s="10" t="s">
        <v>142</v>
      </c>
      <c r="C169" s="10" t="s">
        <v>1838</v>
      </c>
      <c r="D169" s="11" t="s">
        <v>1839</v>
      </c>
      <c r="E169" s="10" t="s">
        <v>222</v>
      </c>
      <c r="F169" s="10" t="s">
        <v>331</v>
      </c>
      <c r="G169" s="13" t="s">
        <v>1840</v>
      </c>
      <c r="H169" s="11" t="s">
        <v>1841</v>
      </c>
      <c r="I169" s="11" t="s">
        <v>1842</v>
      </c>
      <c r="J169" s="10" t="s">
        <v>376</v>
      </c>
      <c r="K169" s="13" t="s">
        <v>1843</v>
      </c>
      <c r="L169" s="11" t="s">
        <v>1844</v>
      </c>
      <c r="M169" s="11" t="s">
        <v>1845</v>
      </c>
      <c r="N169" s="11" t="s">
        <v>1846</v>
      </c>
    </row>
    <row r="170" spans="1:14" ht="264">
      <c r="A170" s="8">
        <v>169</v>
      </c>
      <c r="B170" s="10" t="s">
        <v>1847</v>
      </c>
      <c r="C170" s="10" t="s">
        <v>1848</v>
      </c>
      <c r="D170" s="11" t="s">
        <v>1849</v>
      </c>
      <c r="E170" s="10" t="s">
        <v>301</v>
      </c>
      <c r="F170" s="10" t="s">
        <v>355</v>
      </c>
      <c r="G170" s="13" t="s">
        <v>1850</v>
      </c>
      <c r="H170" s="11" t="s">
        <v>1851</v>
      </c>
      <c r="I170" s="11" t="s">
        <v>1852</v>
      </c>
      <c r="J170" s="10" t="s">
        <v>459</v>
      </c>
      <c r="K170" s="13" t="s">
        <v>1640</v>
      </c>
      <c r="L170" s="11">
        <f>91-3222-282200</f>
        <v>-285331</v>
      </c>
      <c r="M170" s="11" t="s">
        <v>1853</v>
      </c>
      <c r="N170" s="11" t="s">
        <v>1854</v>
      </c>
    </row>
    <row r="171" spans="1:14" ht="250.8">
      <c r="A171" s="8">
        <v>170</v>
      </c>
      <c r="B171" s="10" t="s">
        <v>143</v>
      </c>
      <c r="C171" s="10" t="s">
        <v>1855</v>
      </c>
      <c r="D171" s="11" t="s">
        <v>1856</v>
      </c>
      <c r="E171" s="10" t="s">
        <v>225</v>
      </c>
      <c r="F171" s="10" t="s">
        <v>350</v>
      </c>
      <c r="G171" s="13" t="s">
        <v>1857</v>
      </c>
      <c r="H171" s="11" t="s">
        <v>1858</v>
      </c>
      <c r="I171" s="11" t="s">
        <v>1859</v>
      </c>
      <c r="J171" s="10" t="s">
        <v>460</v>
      </c>
      <c r="K171" s="13" t="s">
        <v>1860</v>
      </c>
      <c r="L171" s="11" t="s">
        <v>1861</v>
      </c>
      <c r="M171" s="11" t="s">
        <v>1862</v>
      </c>
      <c r="N171" s="11" t="s">
        <v>1863</v>
      </c>
    </row>
    <row r="172" spans="1:14" ht="277.2">
      <c r="A172" s="8">
        <v>171</v>
      </c>
      <c r="B172" s="10" t="s">
        <v>144</v>
      </c>
      <c r="C172" s="10" t="s">
        <v>1864</v>
      </c>
      <c r="D172" s="11" t="s">
        <v>1865</v>
      </c>
      <c r="E172" s="10" t="s">
        <v>222</v>
      </c>
      <c r="F172" s="10" t="s">
        <v>367</v>
      </c>
      <c r="G172" s="13" t="s">
        <v>1866</v>
      </c>
      <c r="H172" s="11" t="s">
        <v>1867</v>
      </c>
      <c r="I172" s="11" t="s">
        <v>1868</v>
      </c>
      <c r="J172" s="10" t="s">
        <v>376</v>
      </c>
      <c r="K172" s="13" t="s">
        <v>1869</v>
      </c>
      <c r="L172" s="11" t="s">
        <v>1870</v>
      </c>
      <c r="M172" s="11" t="s">
        <v>1871</v>
      </c>
      <c r="N172" s="11" t="s">
        <v>1872</v>
      </c>
    </row>
    <row r="173" spans="1:14" ht="303.60000000000002">
      <c r="A173" s="8">
        <v>172</v>
      </c>
      <c r="B173" s="10" t="s">
        <v>145</v>
      </c>
      <c r="C173" s="10" t="s">
        <v>1873</v>
      </c>
      <c r="D173" s="11" t="s">
        <v>1874</v>
      </c>
      <c r="E173" s="10" t="s">
        <v>222</v>
      </c>
      <c r="F173" s="10" t="s">
        <v>367</v>
      </c>
      <c r="G173" s="13" t="s">
        <v>1866</v>
      </c>
      <c r="H173" s="11" t="s">
        <v>1875</v>
      </c>
      <c r="I173" s="11" t="s">
        <v>1876</v>
      </c>
      <c r="J173" s="10" t="s">
        <v>376</v>
      </c>
      <c r="K173" s="13" t="s">
        <v>1877</v>
      </c>
      <c r="L173" s="11" t="s">
        <v>1878</v>
      </c>
      <c r="M173" s="11" t="s">
        <v>1879</v>
      </c>
      <c r="N173" s="11" t="s">
        <v>1880</v>
      </c>
    </row>
    <row r="174" spans="1:14" ht="244.8">
      <c r="A174" s="8">
        <v>173</v>
      </c>
      <c r="B174" s="10" t="s">
        <v>146</v>
      </c>
      <c r="C174" s="10" t="s">
        <v>1881</v>
      </c>
      <c r="D174" s="11" t="s">
        <v>1882</v>
      </c>
      <c r="E174" s="10" t="s">
        <v>222</v>
      </c>
      <c r="F174" s="10" t="s">
        <v>367</v>
      </c>
      <c r="G174" s="13" t="s">
        <v>1866</v>
      </c>
      <c r="H174" s="11" t="s">
        <v>1883</v>
      </c>
      <c r="I174" s="11" t="s">
        <v>1884</v>
      </c>
      <c r="J174" s="10" t="s">
        <v>376</v>
      </c>
      <c r="K174" s="13" t="s">
        <v>1885</v>
      </c>
      <c r="L174" s="11">
        <f>91-522-2236355</f>
        <v>-2236786</v>
      </c>
      <c r="M174" s="11" t="s">
        <v>1886</v>
      </c>
      <c r="N174" s="11" t="s">
        <v>1887</v>
      </c>
    </row>
    <row r="175" spans="1:14" ht="277.2">
      <c r="A175" s="8">
        <v>174</v>
      </c>
      <c r="B175" s="10" t="s">
        <v>147</v>
      </c>
      <c r="C175" s="10" t="s">
        <v>1888</v>
      </c>
      <c r="D175" s="11" t="s">
        <v>1889</v>
      </c>
      <c r="E175" s="10" t="s">
        <v>222</v>
      </c>
      <c r="F175" s="10" t="s">
        <v>367</v>
      </c>
      <c r="G175" s="13" t="s">
        <v>1890</v>
      </c>
      <c r="H175" s="11" t="s">
        <v>1891</v>
      </c>
      <c r="I175" s="11" t="s">
        <v>1892</v>
      </c>
      <c r="J175" s="10" t="s">
        <v>376</v>
      </c>
      <c r="K175" s="13" t="s">
        <v>1893</v>
      </c>
      <c r="L175" s="11">
        <f>91-522-261-1296</f>
        <v>-1988</v>
      </c>
      <c r="M175" s="11" t="s">
        <v>1894</v>
      </c>
      <c r="N175" s="11" t="s">
        <v>1895</v>
      </c>
    </row>
    <row r="176" spans="1:14" ht="302.39999999999998">
      <c r="A176" s="8">
        <v>175</v>
      </c>
      <c r="B176" s="10" t="s">
        <v>148</v>
      </c>
      <c r="C176" s="10" t="s">
        <v>1896</v>
      </c>
      <c r="D176" s="11" t="s">
        <v>1897</v>
      </c>
      <c r="E176" s="10" t="s">
        <v>222</v>
      </c>
      <c r="F176" s="10" t="s">
        <v>335</v>
      </c>
      <c r="G176" s="13" t="s">
        <v>1898</v>
      </c>
      <c r="H176" s="11" t="s">
        <v>1899</v>
      </c>
      <c r="I176" s="11" t="s">
        <v>1900</v>
      </c>
      <c r="J176" s="10" t="s">
        <v>376</v>
      </c>
      <c r="K176" s="13" t="s">
        <v>1901</v>
      </c>
      <c r="L176" s="11" t="s">
        <v>1902</v>
      </c>
      <c r="M176" s="11" t="s">
        <v>1903</v>
      </c>
      <c r="N176" s="11" t="s">
        <v>1904</v>
      </c>
    </row>
    <row r="177" spans="1:14" ht="250.8">
      <c r="A177" s="8">
        <v>176</v>
      </c>
      <c r="B177" s="10" t="s">
        <v>149</v>
      </c>
      <c r="C177" s="10" t="s">
        <v>1905</v>
      </c>
      <c r="D177" s="11" t="s">
        <v>1906</v>
      </c>
      <c r="E177" s="10" t="s">
        <v>222</v>
      </c>
      <c r="F177" s="10" t="s">
        <v>339</v>
      </c>
      <c r="G177" s="13" t="s">
        <v>1907</v>
      </c>
      <c r="H177" s="11" t="s">
        <v>1908</v>
      </c>
      <c r="I177" s="11" t="s">
        <v>1909</v>
      </c>
      <c r="J177" s="10" t="s">
        <v>376</v>
      </c>
      <c r="K177" s="13" t="s">
        <v>1910</v>
      </c>
      <c r="L177" s="11">
        <f>91-771-4003801</f>
        <v>-4004481</v>
      </c>
      <c r="M177" s="11" t="s">
        <v>1911</v>
      </c>
      <c r="N177" s="11" t="s">
        <v>1912</v>
      </c>
    </row>
    <row r="178" spans="1:14" ht="244.8">
      <c r="A178" s="8">
        <v>177</v>
      </c>
      <c r="B178" s="13" t="s">
        <v>150</v>
      </c>
      <c r="C178" s="10" t="s">
        <v>1913</v>
      </c>
      <c r="D178" s="11" t="s">
        <v>1914</v>
      </c>
      <c r="E178" s="10" t="s">
        <v>222</v>
      </c>
      <c r="F178" s="10" t="s">
        <v>329</v>
      </c>
      <c r="G178" s="13" t="s">
        <v>1915</v>
      </c>
      <c r="H178" s="11" t="s">
        <v>1916</v>
      </c>
      <c r="I178" s="11" t="s">
        <v>1917</v>
      </c>
      <c r="J178" s="10" t="s">
        <v>461</v>
      </c>
      <c r="K178" s="13" t="s">
        <v>1918</v>
      </c>
      <c r="L178" s="11" t="s">
        <v>1919</v>
      </c>
      <c r="M178" s="11" t="s">
        <v>1920</v>
      </c>
      <c r="N178" s="11" t="s">
        <v>1921</v>
      </c>
    </row>
    <row r="179" spans="1:14" ht="264">
      <c r="A179" s="8">
        <v>178</v>
      </c>
      <c r="B179" s="10" t="s">
        <v>151</v>
      </c>
      <c r="C179" s="10" t="s">
        <v>1922</v>
      </c>
      <c r="D179" s="11" t="s">
        <v>1923</v>
      </c>
      <c r="E179" s="10" t="s">
        <v>222</v>
      </c>
      <c r="F179" s="10" t="s">
        <v>361</v>
      </c>
      <c r="G179" s="13" t="s">
        <v>1924</v>
      </c>
      <c r="H179" s="11" t="s">
        <v>1925</v>
      </c>
      <c r="I179" s="11" t="s">
        <v>1926</v>
      </c>
      <c r="J179" s="10" t="s">
        <v>376</v>
      </c>
      <c r="K179" s="13" t="s">
        <v>1927</v>
      </c>
      <c r="L179" s="11">
        <f>91-172-2741025</f>
        <v>-2741106</v>
      </c>
      <c r="M179" s="11" t="s">
        <v>1928</v>
      </c>
      <c r="N179" s="11" t="s">
        <v>1929</v>
      </c>
    </row>
    <row r="180" spans="1:14" ht="250.8">
      <c r="A180" s="8">
        <v>179</v>
      </c>
      <c r="B180" s="13" t="s">
        <v>152</v>
      </c>
      <c r="C180" s="10" t="s">
        <v>1930</v>
      </c>
      <c r="D180" s="11" t="s">
        <v>1931</v>
      </c>
      <c r="E180" s="10" t="s">
        <v>222</v>
      </c>
      <c r="F180" s="10" t="s">
        <v>329</v>
      </c>
      <c r="G180" s="13" t="s">
        <v>783</v>
      </c>
      <c r="H180" s="11" t="s">
        <v>1932</v>
      </c>
      <c r="I180" s="11" t="s">
        <v>1933</v>
      </c>
      <c r="J180" s="10" t="s">
        <v>462</v>
      </c>
      <c r="K180" s="13" t="s">
        <v>1934</v>
      </c>
      <c r="L180" s="11" t="s">
        <v>1935</v>
      </c>
      <c r="M180" s="11" t="s">
        <v>1936</v>
      </c>
      <c r="N180" s="11" t="s">
        <v>1937</v>
      </c>
    </row>
    <row r="181" spans="1:14" ht="316.8">
      <c r="A181" s="8">
        <v>180</v>
      </c>
      <c r="B181" s="10" t="s">
        <v>153</v>
      </c>
      <c r="C181" s="10" t="s">
        <v>1938</v>
      </c>
      <c r="D181" s="11" t="s">
        <v>1939</v>
      </c>
      <c r="E181" s="10" t="s">
        <v>222</v>
      </c>
      <c r="F181" s="10" t="s">
        <v>331</v>
      </c>
      <c r="G181" s="13" t="s">
        <v>1940</v>
      </c>
      <c r="H181" s="11" t="s">
        <v>1941</v>
      </c>
      <c r="I181" s="11" t="s">
        <v>1942</v>
      </c>
      <c r="J181" s="10" t="s">
        <v>376</v>
      </c>
      <c r="K181" s="13" t="s">
        <v>1943</v>
      </c>
      <c r="L181" s="11" t="s">
        <v>1944</v>
      </c>
      <c r="M181" s="11" t="s">
        <v>1945</v>
      </c>
      <c r="N181" s="11" t="s">
        <v>1946</v>
      </c>
    </row>
    <row r="182" spans="1:14" ht="250.8">
      <c r="A182" s="8">
        <v>181</v>
      </c>
      <c r="B182" s="10" t="s">
        <v>154</v>
      </c>
      <c r="C182" s="10" t="s">
        <v>1947</v>
      </c>
      <c r="D182" s="11" t="s">
        <v>1948</v>
      </c>
      <c r="E182" s="10" t="s">
        <v>225</v>
      </c>
      <c r="F182" s="10" t="s">
        <v>328</v>
      </c>
      <c r="G182" s="13" t="s">
        <v>783</v>
      </c>
      <c r="H182" s="11" t="s">
        <v>1949</v>
      </c>
      <c r="I182" s="11" t="s">
        <v>1950</v>
      </c>
      <c r="J182" s="10" t="s">
        <v>463</v>
      </c>
      <c r="K182" s="13" t="s">
        <v>1951</v>
      </c>
      <c r="L182" s="11">
        <f>91-522-2623464</f>
        <v>-2623895</v>
      </c>
      <c r="M182" s="11" t="s">
        <v>1952</v>
      </c>
      <c r="N182" s="11" t="s">
        <v>1953</v>
      </c>
    </row>
    <row r="183" spans="1:14" ht="250.8">
      <c r="A183" s="8">
        <v>182</v>
      </c>
      <c r="B183" s="10" t="s">
        <v>155</v>
      </c>
      <c r="C183" s="10" t="s">
        <v>1954</v>
      </c>
      <c r="D183" s="11" t="s">
        <v>1955</v>
      </c>
      <c r="E183" s="10" t="s">
        <v>222</v>
      </c>
      <c r="F183" s="10" t="s">
        <v>331</v>
      </c>
      <c r="G183" s="13" t="s">
        <v>783</v>
      </c>
      <c r="H183" s="11" t="s">
        <v>1956</v>
      </c>
      <c r="I183" s="11" t="s">
        <v>1957</v>
      </c>
      <c r="J183" s="10" t="s">
        <v>376</v>
      </c>
      <c r="K183" s="13" t="s">
        <v>1958</v>
      </c>
      <c r="L183" s="11" t="s">
        <v>729</v>
      </c>
      <c r="M183" s="11" t="s">
        <v>1959</v>
      </c>
      <c r="N183" s="11" t="s">
        <v>1960</v>
      </c>
    </row>
    <row r="184" spans="1:14" ht="290.39999999999998">
      <c r="A184" s="8">
        <v>183</v>
      </c>
      <c r="B184" s="10" t="s">
        <v>156</v>
      </c>
      <c r="C184" s="10" t="s">
        <v>1961</v>
      </c>
      <c r="D184" s="11" t="s">
        <v>1962</v>
      </c>
      <c r="E184" s="10" t="s">
        <v>222</v>
      </c>
      <c r="F184" s="10" t="s">
        <v>347</v>
      </c>
      <c r="G184" s="13" t="s">
        <v>1963</v>
      </c>
      <c r="H184" s="11" t="s">
        <v>1964</v>
      </c>
      <c r="I184" s="11" t="s">
        <v>1965</v>
      </c>
      <c r="J184" s="10" t="s">
        <v>376</v>
      </c>
      <c r="K184" s="13" t="s">
        <v>1966</v>
      </c>
      <c r="L184" s="11">
        <f>91-135-2713580</f>
        <v>-2713624</v>
      </c>
      <c r="M184" s="11" t="s">
        <v>1967</v>
      </c>
      <c r="N184" s="11" t="s">
        <v>1968</v>
      </c>
    </row>
    <row r="185" spans="1:14" ht="250.8">
      <c r="A185" s="8">
        <v>184</v>
      </c>
      <c r="B185" s="10" t="s">
        <v>157</v>
      </c>
      <c r="C185" s="10" t="s">
        <v>1969</v>
      </c>
      <c r="D185" s="11" t="s">
        <v>1970</v>
      </c>
      <c r="E185" s="10" t="s">
        <v>225</v>
      </c>
      <c r="F185" s="10" t="s">
        <v>355</v>
      </c>
      <c r="G185" s="10" t="s">
        <v>355</v>
      </c>
      <c r="H185" s="11" t="s">
        <v>1971</v>
      </c>
      <c r="I185" s="11" t="s">
        <v>1972</v>
      </c>
      <c r="J185" s="10" t="s">
        <v>464</v>
      </c>
      <c r="K185" s="13" t="s">
        <v>1973</v>
      </c>
      <c r="L185" s="11">
        <f>91-3862-241242</f>
        <v>-245013</v>
      </c>
      <c r="M185" s="11" t="s">
        <v>1974</v>
      </c>
      <c r="N185" s="11" t="s">
        <v>1975</v>
      </c>
    </row>
    <row r="186" spans="1:14" ht="244.8">
      <c r="A186" s="8">
        <v>185</v>
      </c>
      <c r="B186" s="10" t="s">
        <v>158</v>
      </c>
      <c r="C186" s="10" t="s">
        <v>1976</v>
      </c>
      <c r="D186" s="11" t="s">
        <v>1977</v>
      </c>
      <c r="E186" s="10" t="s">
        <v>222</v>
      </c>
      <c r="F186" s="10" t="s">
        <v>347</v>
      </c>
      <c r="G186" s="13" t="s">
        <v>1963</v>
      </c>
      <c r="H186" s="11" t="s">
        <v>1978</v>
      </c>
      <c r="I186" s="11" t="s">
        <v>1979</v>
      </c>
      <c r="J186" s="10" t="s">
        <v>376</v>
      </c>
      <c r="K186" s="13" t="s">
        <v>1980</v>
      </c>
      <c r="L186" s="11">
        <f>91-135-2712004</f>
        <v>-2712048</v>
      </c>
      <c r="M186" s="11" t="s">
        <v>1981</v>
      </c>
      <c r="N186" s="13" t="s">
        <v>1982</v>
      </c>
    </row>
    <row r="187" spans="1:14" ht="250.8">
      <c r="A187" s="8">
        <v>186</v>
      </c>
      <c r="B187" s="10" t="s">
        <v>159</v>
      </c>
      <c r="C187" s="10" t="s">
        <v>1983</v>
      </c>
      <c r="D187" s="11" t="s">
        <v>1984</v>
      </c>
      <c r="E187" s="10" t="s">
        <v>222</v>
      </c>
      <c r="F187" s="10" t="s">
        <v>362</v>
      </c>
      <c r="G187" s="13" t="s">
        <v>1985</v>
      </c>
      <c r="H187" s="11" t="s">
        <v>1986</v>
      </c>
      <c r="I187" s="11" t="s">
        <v>1987</v>
      </c>
      <c r="J187" s="10" t="s">
        <v>376</v>
      </c>
      <c r="K187" s="13" t="s">
        <v>1988</v>
      </c>
      <c r="L187" s="11" t="s">
        <v>1989</v>
      </c>
      <c r="M187" s="11" t="s">
        <v>1990</v>
      </c>
      <c r="N187" s="11" t="s">
        <v>1991</v>
      </c>
    </row>
    <row r="188" spans="1:14" ht="259.2">
      <c r="A188" s="8">
        <v>187</v>
      </c>
      <c r="B188" s="10" t="s">
        <v>160</v>
      </c>
      <c r="C188" s="10" t="s">
        <v>1992</v>
      </c>
      <c r="D188" s="11" t="s">
        <v>1993</v>
      </c>
      <c r="E188" s="10" t="s">
        <v>222</v>
      </c>
      <c r="F188" s="10" t="s">
        <v>362</v>
      </c>
      <c r="G188" s="13" t="s">
        <v>1985</v>
      </c>
      <c r="H188" s="11" t="s">
        <v>1994</v>
      </c>
      <c r="I188" s="11" t="s">
        <v>1995</v>
      </c>
      <c r="J188" s="10" t="s">
        <v>376</v>
      </c>
      <c r="K188" s="13" t="s">
        <v>1996</v>
      </c>
      <c r="L188" s="11" t="s">
        <v>1997</v>
      </c>
      <c r="M188" s="11" t="s">
        <v>1998</v>
      </c>
      <c r="N188" s="11" t="s">
        <v>1999</v>
      </c>
    </row>
    <row r="189" spans="1:14" ht="224.4">
      <c r="A189" s="8">
        <v>188</v>
      </c>
      <c r="B189" s="10" t="s">
        <v>161</v>
      </c>
      <c r="C189" s="10" t="s">
        <v>2000</v>
      </c>
      <c r="D189" s="11" t="s">
        <v>2001</v>
      </c>
      <c r="E189" s="10" t="s">
        <v>225</v>
      </c>
      <c r="F189" s="10" t="s">
        <v>329</v>
      </c>
      <c r="G189" s="13" t="s">
        <v>2002</v>
      </c>
      <c r="H189" s="11" t="s">
        <v>2003</v>
      </c>
      <c r="I189" s="11" t="s">
        <v>2004</v>
      </c>
      <c r="J189" s="10" t="s">
        <v>465</v>
      </c>
      <c r="K189" s="13" t="s">
        <v>2005</v>
      </c>
      <c r="L189" s="11" t="s">
        <v>2006</v>
      </c>
      <c r="M189" s="11" t="s">
        <v>2007</v>
      </c>
      <c r="N189" s="11" t="s">
        <v>2008</v>
      </c>
    </row>
    <row r="190" spans="1:14" ht="264">
      <c r="A190" s="8">
        <v>189</v>
      </c>
      <c r="B190" s="10" t="s">
        <v>162</v>
      </c>
      <c r="C190" s="10" t="s">
        <v>2009</v>
      </c>
      <c r="D190" s="11" t="s">
        <v>2010</v>
      </c>
      <c r="E190" s="10" t="s">
        <v>222</v>
      </c>
      <c r="F190" s="10" t="s">
        <v>363</v>
      </c>
      <c r="G190" s="13" t="s">
        <v>2011</v>
      </c>
      <c r="H190" s="11" t="s">
        <v>2012</v>
      </c>
      <c r="I190" s="11" t="s">
        <v>2013</v>
      </c>
      <c r="J190" s="10" t="s">
        <v>376</v>
      </c>
      <c r="K190" s="13" t="s">
        <v>2014</v>
      </c>
      <c r="L190" s="11" t="s">
        <v>2015</v>
      </c>
      <c r="M190" s="11" t="s">
        <v>2016</v>
      </c>
      <c r="N190" s="11" t="s">
        <v>2017</v>
      </c>
    </row>
    <row r="191" spans="1:14" ht="237.6">
      <c r="A191" s="8">
        <v>190</v>
      </c>
      <c r="B191" s="10" t="s">
        <v>163</v>
      </c>
      <c r="C191" s="10" t="s">
        <v>2018</v>
      </c>
      <c r="D191" s="11" t="s">
        <v>2019</v>
      </c>
      <c r="E191" s="10" t="s">
        <v>222</v>
      </c>
      <c r="F191" s="10" t="s">
        <v>368</v>
      </c>
      <c r="G191" s="13" t="s">
        <v>2020</v>
      </c>
      <c r="H191" s="11" t="s">
        <v>2021</v>
      </c>
      <c r="I191" s="11" t="s">
        <v>2022</v>
      </c>
      <c r="J191" s="10" t="s">
        <v>376</v>
      </c>
      <c r="K191" s="13" t="s">
        <v>2023</v>
      </c>
      <c r="L191" s="11" t="s">
        <v>2024</v>
      </c>
      <c r="M191" s="11" t="s">
        <v>2025</v>
      </c>
      <c r="N191" s="11" t="s">
        <v>2026</v>
      </c>
    </row>
    <row r="192" spans="1:14" ht="237.6">
      <c r="A192" s="8">
        <v>191</v>
      </c>
      <c r="B192" s="10" t="s">
        <v>164</v>
      </c>
      <c r="C192" s="10" t="s">
        <v>2027</v>
      </c>
      <c r="D192" s="11" t="s">
        <v>2028</v>
      </c>
      <c r="E192" s="10" t="s">
        <v>225</v>
      </c>
      <c r="F192" s="10" t="s">
        <v>369</v>
      </c>
      <c r="G192" s="13" t="s">
        <v>2029</v>
      </c>
      <c r="H192" s="11" t="s">
        <v>2030</v>
      </c>
      <c r="I192" s="11" t="s">
        <v>2031</v>
      </c>
      <c r="J192" s="10" t="s">
        <v>395</v>
      </c>
      <c r="K192" s="13" t="s">
        <v>2032</v>
      </c>
      <c r="L192" s="11" t="s">
        <v>2033</v>
      </c>
      <c r="M192" s="11" t="s">
        <v>2034</v>
      </c>
      <c r="N192" s="11" t="s">
        <v>2035</v>
      </c>
    </row>
    <row r="193" spans="1:14" ht="211.2">
      <c r="A193" s="8">
        <v>192</v>
      </c>
      <c r="B193" s="10" t="s">
        <v>165</v>
      </c>
      <c r="C193" s="10" t="s">
        <v>2036</v>
      </c>
      <c r="D193" s="11" t="s">
        <v>2037</v>
      </c>
      <c r="E193" s="10" t="s">
        <v>222</v>
      </c>
      <c r="F193" s="10" t="s">
        <v>329</v>
      </c>
      <c r="G193" s="13" t="s">
        <v>2038</v>
      </c>
      <c r="H193" s="11" t="s">
        <v>2039</v>
      </c>
      <c r="I193" s="11" t="s">
        <v>2040</v>
      </c>
      <c r="J193" s="10" t="s">
        <v>466</v>
      </c>
      <c r="K193" s="13" t="s">
        <v>2041</v>
      </c>
      <c r="L193" s="11" t="s">
        <v>2042</v>
      </c>
      <c r="M193" s="11" t="s">
        <v>2043</v>
      </c>
      <c r="N193" s="11" t="s">
        <v>2044</v>
      </c>
    </row>
    <row r="194" spans="1:14" ht="211.2">
      <c r="A194" s="8">
        <v>193</v>
      </c>
      <c r="B194" s="10" t="s">
        <v>166</v>
      </c>
      <c r="C194" s="10" t="s">
        <v>2045</v>
      </c>
      <c r="D194" s="11" t="s">
        <v>2046</v>
      </c>
      <c r="E194" s="10" t="s">
        <v>222</v>
      </c>
      <c r="F194" s="10" t="s">
        <v>352</v>
      </c>
      <c r="G194" s="13" t="s">
        <v>2047</v>
      </c>
      <c r="H194" s="11" t="s">
        <v>2048</v>
      </c>
      <c r="I194" s="11" t="s">
        <v>2049</v>
      </c>
      <c r="J194" s="10" t="s">
        <v>467</v>
      </c>
      <c r="K194" s="13" t="s">
        <v>2050</v>
      </c>
      <c r="L194" s="11" t="s">
        <v>2051</v>
      </c>
      <c r="M194" s="11" t="s">
        <v>2052</v>
      </c>
      <c r="N194" s="11" t="s">
        <v>2053</v>
      </c>
    </row>
    <row r="195" spans="1:14" ht="216">
      <c r="A195" s="8">
        <v>194</v>
      </c>
      <c r="B195" s="10" t="s">
        <v>167</v>
      </c>
      <c r="C195" s="19" t="s">
        <v>2054</v>
      </c>
      <c r="D195" s="11" t="s">
        <v>2055</v>
      </c>
      <c r="E195" s="10" t="s">
        <v>225</v>
      </c>
      <c r="F195" s="10" t="s">
        <v>327</v>
      </c>
      <c r="G195" s="13" t="s">
        <v>2056</v>
      </c>
      <c r="H195" s="11" t="s">
        <v>2057</v>
      </c>
      <c r="I195" s="22" t="s">
        <v>2058</v>
      </c>
      <c r="J195" s="10" t="s">
        <v>468</v>
      </c>
      <c r="K195" s="13" t="s">
        <v>2059</v>
      </c>
      <c r="L195" s="30" t="s">
        <v>2060</v>
      </c>
      <c r="M195" s="11" t="s">
        <v>2061</v>
      </c>
      <c r="N195" s="11" t="s">
        <v>2062</v>
      </c>
    </row>
    <row r="196" spans="1:14" ht="216">
      <c r="A196" s="8">
        <v>195</v>
      </c>
      <c r="B196" s="10" t="s">
        <v>168</v>
      </c>
      <c r="C196" s="19" t="s">
        <v>2063</v>
      </c>
      <c r="D196" s="11" t="s">
        <v>2064</v>
      </c>
      <c r="E196" s="10" t="s">
        <v>225</v>
      </c>
      <c r="F196" s="10" t="s">
        <v>334</v>
      </c>
      <c r="G196" s="13" t="s">
        <v>2065</v>
      </c>
      <c r="H196" s="11" t="s">
        <v>2066</v>
      </c>
      <c r="I196" s="22" t="s">
        <v>2067</v>
      </c>
      <c r="J196" s="10" t="s">
        <v>469</v>
      </c>
      <c r="K196" s="13" t="s">
        <v>2068</v>
      </c>
      <c r="L196" s="30" t="s">
        <v>2069</v>
      </c>
      <c r="M196" s="11" t="s">
        <v>2070</v>
      </c>
      <c r="N196" s="11" t="s">
        <v>2071</v>
      </c>
    </row>
    <row r="197" spans="1:14" ht="262.2">
      <c r="A197" s="8">
        <v>196</v>
      </c>
      <c r="B197" s="10" t="s">
        <v>169</v>
      </c>
      <c r="C197" s="19" t="s">
        <v>2072</v>
      </c>
      <c r="D197" s="11" t="s">
        <v>2073</v>
      </c>
      <c r="E197" s="10" t="s">
        <v>225</v>
      </c>
      <c r="F197" s="10" t="s">
        <v>370</v>
      </c>
      <c r="G197" s="13" t="s">
        <v>2074</v>
      </c>
      <c r="H197" s="11" t="s">
        <v>2075</v>
      </c>
      <c r="I197" s="22" t="s">
        <v>2076</v>
      </c>
      <c r="J197" s="10" t="s">
        <v>470</v>
      </c>
      <c r="K197" s="13" t="s">
        <v>2077</v>
      </c>
      <c r="L197" s="11" t="s">
        <v>2078</v>
      </c>
      <c r="M197" s="11" t="s">
        <v>2079</v>
      </c>
      <c r="N197" s="11" t="s">
        <v>1309</v>
      </c>
    </row>
    <row r="198" spans="1:14" ht="201.6">
      <c r="A198" s="8">
        <v>197</v>
      </c>
      <c r="B198" s="10" t="s">
        <v>170</v>
      </c>
      <c r="C198" s="19" t="s">
        <v>2080</v>
      </c>
      <c r="D198" s="11" t="s">
        <v>2081</v>
      </c>
      <c r="E198" s="10" t="s">
        <v>302</v>
      </c>
      <c r="F198" s="10" t="s">
        <v>358</v>
      </c>
      <c r="G198" s="13" t="s">
        <v>2082</v>
      </c>
      <c r="H198" s="11" t="s">
        <v>2083</v>
      </c>
      <c r="I198" s="22" t="s">
        <v>2084</v>
      </c>
      <c r="J198" s="10" t="s">
        <v>373</v>
      </c>
      <c r="K198" s="13" t="s">
        <v>2085</v>
      </c>
      <c r="L198" s="11" t="s">
        <v>2086</v>
      </c>
      <c r="M198" s="11" t="s">
        <v>2087</v>
      </c>
      <c r="N198" s="11" t="s">
        <v>2088</v>
      </c>
    </row>
    <row r="199" spans="1:14" ht="316.8">
      <c r="A199" s="8">
        <v>198</v>
      </c>
      <c r="B199" s="10" t="s">
        <v>2089</v>
      </c>
      <c r="C199" s="19" t="s">
        <v>2090</v>
      </c>
      <c r="D199" s="11" t="s">
        <v>2091</v>
      </c>
      <c r="E199" s="10" t="s">
        <v>303</v>
      </c>
      <c r="F199" s="10" t="s">
        <v>355</v>
      </c>
      <c r="G199" s="13" t="s">
        <v>2092</v>
      </c>
      <c r="H199" s="11" t="s">
        <v>2093</v>
      </c>
      <c r="I199" s="22" t="s">
        <v>2094</v>
      </c>
      <c r="J199" s="10" t="s">
        <v>471</v>
      </c>
      <c r="K199" s="13" t="s">
        <v>2095</v>
      </c>
      <c r="L199" s="11" t="s">
        <v>2096</v>
      </c>
      <c r="M199" s="11" t="s">
        <v>2097</v>
      </c>
      <c r="N199" s="11" t="s">
        <v>2098</v>
      </c>
    </row>
    <row r="200" spans="1:14" ht="234.6">
      <c r="A200" s="8">
        <v>199</v>
      </c>
      <c r="B200" s="10" t="s">
        <v>171</v>
      </c>
      <c r="C200" s="19" t="s">
        <v>2099</v>
      </c>
      <c r="D200" s="11" t="s">
        <v>2100</v>
      </c>
      <c r="E200" s="10" t="s">
        <v>224</v>
      </c>
      <c r="F200" s="10" t="s">
        <v>337</v>
      </c>
      <c r="G200" s="13" t="s">
        <v>2101</v>
      </c>
      <c r="H200" s="11" t="s">
        <v>2102</v>
      </c>
      <c r="I200" s="11" t="s">
        <v>2103</v>
      </c>
      <c r="J200" s="10" t="s">
        <v>472</v>
      </c>
      <c r="K200" s="13" t="s">
        <v>2104</v>
      </c>
      <c r="L200" s="11" t="s">
        <v>2105</v>
      </c>
      <c r="M200" s="11" t="s">
        <v>2106</v>
      </c>
      <c r="N200" s="11" t="s">
        <v>2107</v>
      </c>
    </row>
    <row r="201" spans="1:14" ht="201.6">
      <c r="A201" s="8">
        <v>200</v>
      </c>
      <c r="B201" s="10" t="s">
        <v>172</v>
      </c>
      <c r="C201" s="19" t="s">
        <v>2108</v>
      </c>
      <c r="D201" s="11" t="s">
        <v>2109</v>
      </c>
      <c r="E201" s="10" t="s">
        <v>304</v>
      </c>
      <c r="F201" s="10" t="s">
        <v>334</v>
      </c>
      <c r="G201" s="13" t="s">
        <v>2110</v>
      </c>
      <c r="H201" s="11" t="s">
        <v>2111</v>
      </c>
      <c r="I201" s="11" t="s">
        <v>2112</v>
      </c>
      <c r="J201" s="10" t="s">
        <v>389</v>
      </c>
      <c r="K201" s="13" t="s">
        <v>2113</v>
      </c>
      <c r="L201" s="11" t="s">
        <v>2114</v>
      </c>
      <c r="M201" s="11" t="s">
        <v>2115</v>
      </c>
      <c r="N201" s="11" t="s">
        <v>2116</v>
      </c>
    </row>
    <row r="202" spans="1:14" ht="187.2">
      <c r="A202" s="8">
        <v>201</v>
      </c>
      <c r="B202" s="10" t="s">
        <v>173</v>
      </c>
      <c r="C202" s="19" t="s">
        <v>2117</v>
      </c>
      <c r="D202" s="11" t="s">
        <v>2118</v>
      </c>
      <c r="E202" s="10" t="s">
        <v>225</v>
      </c>
      <c r="F202" s="10" t="s">
        <v>344</v>
      </c>
      <c r="G202" s="13" t="s">
        <v>2119</v>
      </c>
      <c r="H202" s="11" t="s">
        <v>2120</v>
      </c>
      <c r="I202" s="11" t="s">
        <v>2121</v>
      </c>
      <c r="J202" s="10" t="s">
        <v>473</v>
      </c>
      <c r="K202" s="13" t="s">
        <v>2122</v>
      </c>
      <c r="L202" s="11" t="s">
        <v>2123</v>
      </c>
      <c r="M202" s="11" t="s">
        <v>2124</v>
      </c>
      <c r="N202" s="11" t="s">
        <v>2125</v>
      </c>
    </row>
    <row r="203" spans="1:14" ht="172.8">
      <c r="A203" s="8">
        <v>202</v>
      </c>
      <c r="B203" s="10" t="s">
        <v>174</v>
      </c>
      <c r="C203" s="19" t="s">
        <v>2126</v>
      </c>
      <c r="D203" s="11" t="s">
        <v>2127</v>
      </c>
      <c r="E203" s="10" t="s">
        <v>305</v>
      </c>
      <c r="F203" s="10" t="s">
        <v>332</v>
      </c>
      <c r="G203" s="13" t="s">
        <v>2128</v>
      </c>
      <c r="H203" s="11" t="s">
        <v>2129</v>
      </c>
      <c r="I203" s="11" t="s">
        <v>2130</v>
      </c>
      <c r="J203" s="10" t="s">
        <v>399</v>
      </c>
      <c r="K203" s="13" t="s">
        <v>2131</v>
      </c>
      <c r="L203" s="11" t="s">
        <v>2132</v>
      </c>
      <c r="M203" s="11" t="s">
        <v>2133</v>
      </c>
      <c r="N203" s="11" t="s">
        <v>2134</v>
      </c>
    </row>
    <row r="204" spans="1:14" ht="187.2">
      <c r="A204" s="8">
        <v>203</v>
      </c>
      <c r="B204" s="10" t="s">
        <v>175</v>
      </c>
      <c r="C204" s="19" t="s">
        <v>2135</v>
      </c>
      <c r="D204" s="11" t="s">
        <v>2136</v>
      </c>
      <c r="E204" s="10" t="s">
        <v>222</v>
      </c>
      <c r="F204" s="10" t="s">
        <v>352</v>
      </c>
      <c r="G204" s="13" t="s">
        <v>2137</v>
      </c>
      <c r="H204" s="11" t="s">
        <v>2138</v>
      </c>
      <c r="I204" s="11" t="s">
        <v>2139</v>
      </c>
      <c r="J204" s="10" t="s">
        <v>474</v>
      </c>
      <c r="K204" s="13" t="s">
        <v>2140</v>
      </c>
      <c r="L204" s="11" t="s">
        <v>2141</v>
      </c>
      <c r="M204" s="11" t="s">
        <v>2142</v>
      </c>
      <c r="N204" s="11" t="s">
        <v>2143</v>
      </c>
    </row>
    <row r="205" spans="1:14" ht="172.8">
      <c r="A205" s="8">
        <v>204</v>
      </c>
      <c r="B205" s="10" t="s">
        <v>176</v>
      </c>
      <c r="C205" s="19" t="s">
        <v>2144</v>
      </c>
      <c r="D205" s="11" t="s">
        <v>2145</v>
      </c>
      <c r="E205" s="10" t="s">
        <v>222</v>
      </c>
      <c r="F205" s="10" t="s">
        <v>332</v>
      </c>
      <c r="G205" s="13" t="s">
        <v>2146</v>
      </c>
      <c r="H205" s="11" t="s">
        <v>2147</v>
      </c>
      <c r="I205" s="11" t="s">
        <v>2148</v>
      </c>
      <c r="J205" s="10" t="s">
        <v>376</v>
      </c>
      <c r="K205" s="13" t="s">
        <v>2149</v>
      </c>
      <c r="L205" s="11" t="s">
        <v>2150</v>
      </c>
      <c r="M205" s="11" t="s">
        <v>2151</v>
      </c>
      <c r="N205" s="11" t="s">
        <v>2152</v>
      </c>
    </row>
    <row r="206" spans="1:14" ht="201.6">
      <c r="A206" s="8">
        <v>205</v>
      </c>
      <c r="B206" s="10" t="s">
        <v>177</v>
      </c>
      <c r="C206" s="19" t="s">
        <v>2153</v>
      </c>
      <c r="D206" s="11" t="s">
        <v>2154</v>
      </c>
      <c r="E206" s="10" t="s">
        <v>222</v>
      </c>
      <c r="F206" s="10" t="s">
        <v>332</v>
      </c>
      <c r="G206" s="13" t="s">
        <v>2155</v>
      </c>
      <c r="H206" s="11" t="s">
        <v>2156</v>
      </c>
      <c r="I206" s="11" t="s">
        <v>2157</v>
      </c>
      <c r="J206" s="10" t="s">
        <v>475</v>
      </c>
      <c r="K206" s="13" t="s">
        <v>2158</v>
      </c>
      <c r="L206" s="11" t="s">
        <v>2159</v>
      </c>
      <c r="M206" s="11" t="s">
        <v>2160</v>
      </c>
      <c r="N206" s="11" t="s">
        <v>2161</v>
      </c>
    </row>
    <row r="207" spans="1:14" ht="216">
      <c r="A207" s="8">
        <v>206</v>
      </c>
      <c r="B207" s="10" t="s">
        <v>178</v>
      </c>
      <c r="C207" s="19" t="s">
        <v>2162</v>
      </c>
      <c r="D207" s="11" t="s">
        <v>2163</v>
      </c>
      <c r="E207" s="10" t="s">
        <v>306</v>
      </c>
      <c r="F207" s="10" t="s">
        <v>337</v>
      </c>
      <c r="G207" s="13" t="s">
        <v>2164</v>
      </c>
      <c r="H207" s="11" t="s">
        <v>2165</v>
      </c>
      <c r="I207" s="11" t="s">
        <v>2166</v>
      </c>
      <c r="J207" s="10" t="s">
        <v>389</v>
      </c>
      <c r="K207" s="13" t="s">
        <v>2167</v>
      </c>
      <c r="L207" s="11" t="s">
        <v>2168</v>
      </c>
      <c r="M207" s="11" t="s">
        <v>2169</v>
      </c>
      <c r="N207" s="11" t="s">
        <v>2170</v>
      </c>
    </row>
    <row r="208" spans="1:14" ht="409.6">
      <c r="A208" s="8">
        <v>207</v>
      </c>
      <c r="B208" s="10" t="s">
        <v>179</v>
      </c>
      <c r="C208" s="10" t="s">
        <v>2171</v>
      </c>
      <c r="D208" s="11" t="s">
        <v>2172</v>
      </c>
      <c r="E208" s="10" t="s">
        <v>222</v>
      </c>
      <c r="F208" s="10" t="s">
        <v>329</v>
      </c>
      <c r="G208" s="13" t="s">
        <v>2173</v>
      </c>
      <c r="H208" s="11" t="s">
        <v>2174</v>
      </c>
      <c r="I208" s="11" t="s">
        <v>2175</v>
      </c>
      <c r="J208" s="10" t="s">
        <v>461</v>
      </c>
      <c r="K208" s="13" t="s">
        <v>2176</v>
      </c>
      <c r="L208" s="11" t="s">
        <v>2177</v>
      </c>
      <c r="M208" s="11" t="s">
        <v>2178</v>
      </c>
      <c r="N208" s="11" t="s">
        <v>2179</v>
      </c>
    </row>
    <row r="209" spans="1:14" ht="230.4">
      <c r="A209" s="8">
        <v>208</v>
      </c>
      <c r="B209" s="10" t="s">
        <v>180</v>
      </c>
      <c r="C209" s="10" t="s">
        <v>2180</v>
      </c>
      <c r="D209" s="11" t="s">
        <v>2181</v>
      </c>
      <c r="E209" s="10" t="s">
        <v>222</v>
      </c>
      <c r="F209" s="10" t="s">
        <v>359</v>
      </c>
      <c r="G209" s="13" t="s">
        <v>2182</v>
      </c>
      <c r="H209" s="11" t="s">
        <v>2183</v>
      </c>
      <c r="I209" s="11" t="s">
        <v>2184</v>
      </c>
      <c r="J209" s="10" t="s">
        <v>476</v>
      </c>
      <c r="K209" s="13" t="s">
        <v>2185</v>
      </c>
      <c r="L209" s="11" t="s">
        <v>2186</v>
      </c>
      <c r="M209" s="11" t="s">
        <v>2187</v>
      </c>
      <c r="N209" s="11" t="s">
        <v>2188</v>
      </c>
    </row>
    <row r="210" spans="1:14" ht="224.4">
      <c r="A210" s="8">
        <v>209</v>
      </c>
      <c r="B210" s="10" t="s">
        <v>2189</v>
      </c>
      <c r="C210" s="10" t="s">
        <v>2190</v>
      </c>
      <c r="D210" s="11" t="s">
        <v>2191</v>
      </c>
      <c r="E210" s="10" t="s">
        <v>307</v>
      </c>
      <c r="F210" s="10" t="s">
        <v>355</v>
      </c>
      <c r="G210" s="13" t="s">
        <v>2192</v>
      </c>
      <c r="H210" s="11" t="s">
        <v>2193</v>
      </c>
      <c r="I210" s="11" t="s">
        <v>2194</v>
      </c>
      <c r="J210" s="10" t="s">
        <v>477</v>
      </c>
      <c r="K210" s="13" t="s">
        <v>2195</v>
      </c>
      <c r="L210" s="11" t="s">
        <v>2196</v>
      </c>
      <c r="M210" s="11" t="s">
        <v>2197</v>
      </c>
      <c r="N210" s="11" t="s">
        <v>2198</v>
      </c>
    </row>
    <row r="211" spans="1:14" ht="250.8">
      <c r="A211" s="8">
        <v>210</v>
      </c>
      <c r="B211" s="10" t="s">
        <v>2199</v>
      </c>
      <c r="C211" s="10" t="s">
        <v>2200</v>
      </c>
      <c r="D211" s="11" t="s">
        <v>2201</v>
      </c>
      <c r="E211" s="10" t="s">
        <v>308</v>
      </c>
      <c r="F211" s="10" t="s">
        <v>355</v>
      </c>
      <c r="G211" s="13" t="s">
        <v>2202</v>
      </c>
      <c r="H211" s="11" t="s">
        <v>2203</v>
      </c>
      <c r="I211" s="11" t="s">
        <v>2204</v>
      </c>
      <c r="J211" s="10" t="s">
        <v>478</v>
      </c>
      <c r="K211" s="13" t="s">
        <v>2205</v>
      </c>
      <c r="L211" s="11" t="s">
        <v>2206</v>
      </c>
      <c r="M211" s="11" t="s">
        <v>2207</v>
      </c>
      <c r="N211" s="11" t="s">
        <v>2208</v>
      </c>
    </row>
    <row r="212" spans="1:14" ht="237.6">
      <c r="A212" s="8">
        <v>211</v>
      </c>
      <c r="B212" s="10" t="s">
        <v>181</v>
      </c>
      <c r="C212" s="10" t="s">
        <v>2209</v>
      </c>
      <c r="D212" s="11" t="s">
        <v>2210</v>
      </c>
      <c r="E212" s="10" t="s">
        <v>222</v>
      </c>
      <c r="F212" s="10" t="s">
        <v>332</v>
      </c>
      <c r="G212" s="13" t="s">
        <v>2211</v>
      </c>
      <c r="H212" s="11" t="s">
        <v>2212</v>
      </c>
      <c r="I212" s="11" t="s">
        <v>2213</v>
      </c>
      <c r="J212" s="10" t="s">
        <v>479</v>
      </c>
      <c r="K212" s="13" t="s">
        <v>2214</v>
      </c>
      <c r="L212" s="11" t="s">
        <v>2215</v>
      </c>
      <c r="M212" s="11" t="s">
        <v>2216</v>
      </c>
      <c r="N212" s="11" t="s">
        <v>2217</v>
      </c>
    </row>
    <row r="213" spans="1:14" ht="264">
      <c r="A213" s="8">
        <v>212</v>
      </c>
      <c r="B213" s="10" t="s">
        <v>182</v>
      </c>
      <c r="C213" s="10" t="s">
        <v>2218</v>
      </c>
      <c r="D213" s="11" t="s">
        <v>2219</v>
      </c>
      <c r="E213" s="10" t="s">
        <v>225</v>
      </c>
      <c r="F213" s="10" t="s">
        <v>350</v>
      </c>
      <c r="G213" s="13" t="s">
        <v>2220</v>
      </c>
      <c r="H213" s="11" t="s">
        <v>2221</v>
      </c>
      <c r="I213" s="11" t="s">
        <v>2222</v>
      </c>
      <c r="J213" s="10" t="s">
        <v>480</v>
      </c>
      <c r="K213" s="13" t="s">
        <v>2223</v>
      </c>
      <c r="L213" s="11" t="s">
        <v>2224</v>
      </c>
      <c r="M213" s="11" t="s">
        <v>2225</v>
      </c>
      <c r="N213" s="11" t="s">
        <v>2226</v>
      </c>
    </row>
    <row r="214" spans="1:14" ht="264">
      <c r="A214" s="8">
        <v>213</v>
      </c>
      <c r="B214" s="10" t="s">
        <v>183</v>
      </c>
      <c r="C214" s="10" t="s">
        <v>2227</v>
      </c>
      <c r="D214" s="11" t="s">
        <v>2228</v>
      </c>
      <c r="E214" s="10" t="s">
        <v>309</v>
      </c>
      <c r="F214" s="10" t="s">
        <v>355</v>
      </c>
      <c r="G214" s="13" t="s">
        <v>725</v>
      </c>
      <c r="H214" s="11" t="s">
        <v>2229</v>
      </c>
      <c r="I214" s="11" t="s">
        <v>2230</v>
      </c>
      <c r="J214" s="10" t="s">
        <v>481</v>
      </c>
      <c r="K214" s="13" t="s">
        <v>2231</v>
      </c>
      <c r="L214" s="11" t="s">
        <v>2232</v>
      </c>
      <c r="M214" s="11" t="s">
        <v>2233</v>
      </c>
      <c r="N214" s="11" t="s">
        <v>2234</v>
      </c>
    </row>
    <row r="215" spans="1:14" ht="237.6">
      <c r="A215" s="8">
        <v>214</v>
      </c>
      <c r="B215" s="10" t="s">
        <v>184</v>
      </c>
      <c r="C215" s="10" t="s">
        <v>2235</v>
      </c>
      <c r="D215" s="11" t="s">
        <v>2236</v>
      </c>
      <c r="E215" s="10" t="s">
        <v>240</v>
      </c>
      <c r="F215" s="10" t="s">
        <v>367</v>
      </c>
      <c r="G215" s="13" t="s">
        <v>2237</v>
      </c>
      <c r="H215" s="11" t="s">
        <v>2238</v>
      </c>
      <c r="I215" s="11" t="s">
        <v>2239</v>
      </c>
      <c r="J215" s="10" t="s">
        <v>389</v>
      </c>
      <c r="K215" s="13" t="s">
        <v>2231</v>
      </c>
      <c r="L215" s="11" t="s">
        <v>2240</v>
      </c>
      <c r="M215" s="11" t="s">
        <v>2241</v>
      </c>
      <c r="N215" s="11" t="s">
        <v>2242</v>
      </c>
    </row>
    <row r="216" spans="1:14" ht="250.8">
      <c r="A216" s="8">
        <v>215</v>
      </c>
      <c r="B216" s="10" t="s">
        <v>185</v>
      </c>
      <c r="C216" s="10" t="s">
        <v>2243</v>
      </c>
      <c r="D216" s="11" t="s">
        <v>2244</v>
      </c>
      <c r="E216" s="10" t="s">
        <v>230</v>
      </c>
      <c r="F216" s="10" t="s">
        <v>355</v>
      </c>
      <c r="G216" s="13" t="s">
        <v>2245</v>
      </c>
      <c r="H216" s="11" t="s">
        <v>2246</v>
      </c>
      <c r="I216" s="11" t="s">
        <v>2247</v>
      </c>
      <c r="J216" s="10" t="s">
        <v>373</v>
      </c>
      <c r="K216" s="13" t="s">
        <v>2248</v>
      </c>
      <c r="L216" s="11" t="s">
        <v>2249</v>
      </c>
      <c r="M216" s="11" t="s">
        <v>2250</v>
      </c>
      <c r="N216" s="11" t="s">
        <v>2251</v>
      </c>
    </row>
    <row r="217" spans="1:14" ht="250.8">
      <c r="A217" s="8">
        <v>216</v>
      </c>
      <c r="B217" s="10" t="s">
        <v>186</v>
      </c>
      <c r="C217" s="10" t="s">
        <v>2252</v>
      </c>
      <c r="D217" s="11" t="s">
        <v>2253</v>
      </c>
      <c r="E217" s="10" t="s">
        <v>222</v>
      </c>
      <c r="F217" s="10" t="s">
        <v>328</v>
      </c>
      <c r="G217" s="13" t="s">
        <v>2254</v>
      </c>
      <c r="H217" s="11" t="s">
        <v>2255</v>
      </c>
      <c r="I217" s="11" t="s">
        <v>2256</v>
      </c>
      <c r="J217" s="10" t="s">
        <v>482</v>
      </c>
      <c r="K217" s="13" t="s">
        <v>2257</v>
      </c>
      <c r="L217" s="11" t="s">
        <v>2258</v>
      </c>
      <c r="M217" s="11" t="s">
        <v>2259</v>
      </c>
      <c r="N217" s="11" t="s">
        <v>2260</v>
      </c>
    </row>
    <row r="218" spans="1:14" ht="264">
      <c r="A218" s="8">
        <v>217</v>
      </c>
      <c r="B218" s="10" t="s">
        <v>187</v>
      </c>
      <c r="C218" s="10" t="s">
        <v>2261</v>
      </c>
      <c r="D218" s="11" t="s">
        <v>2262</v>
      </c>
      <c r="E218" s="10" t="s">
        <v>225</v>
      </c>
      <c r="F218" s="10" t="s">
        <v>345</v>
      </c>
      <c r="G218" s="13" t="s">
        <v>2263</v>
      </c>
      <c r="H218" s="11" t="s">
        <v>2264</v>
      </c>
      <c r="I218" s="11" t="s">
        <v>2265</v>
      </c>
      <c r="J218" s="10" t="s">
        <v>483</v>
      </c>
      <c r="K218" s="13" t="s">
        <v>2266</v>
      </c>
      <c r="L218" s="11" t="s">
        <v>2267</v>
      </c>
      <c r="M218" s="11" t="s">
        <v>2268</v>
      </c>
      <c r="N218" s="11" t="s">
        <v>2269</v>
      </c>
    </row>
    <row r="219" spans="1:14" ht="264">
      <c r="A219" s="8">
        <v>218</v>
      </c>
      <c r="B219" s="10" t="s">
        <v>188</v>
      </c>
      <c r="C219" s="10" t="s">
        <v>2270</v>
      </c>
      <c r="D219" s="11" t="s">
        <v>2271</v>
      </c>
      <c r="E219" s="10" t="s">
        <v>225</v>
      </c>
      <c r="F219" s="10" t="s">
        <v>331</v>
      </c>
      <c r="G219" s="13" t="s">
        <v>2272</v>
      </c>
      <c r="H219" s="11" t="s">
        <v>2273</v>
      </c>
      <c r="I219" s="11" t="s">
        <v>2274</v>
      </c>
      <c r="J219" s="10" t="s">
        <v>484</v>
      </c>
      <c r="K219" s="13" t="s">
        <v>2275</v>
      </c>
      <c r="L219" s="11" t="s">
        <v>2276</v>
      </c>
      <c r="M219" s="11" t="s">
        <v>2277</v>
      </c>
      <c r="N219" s="11" t="s">
        <v>2278</v>
      </c>
    </row>
    <row r="220" spans="1:14" ht="264">
      <c r="A220" s="8">
        <v>219</v>
      </c>
      <c r="B220" s="10" t="s">
        <v>189</v>
      </c>
      <c r="C220" s="10" t="s">
        <v>2279</v>
      </c>
      <c r="D220" s="11" t="s">
        <v>2280</v>
      </c>
      <c r="E220" s="10" t="s">
        <v>310</v>
      </c>
      <c r="F220" s="10" t="s">
        <v>371</v>
      </c>
      <c r="G220" s="13" t="s">
        <v>2281</v>
      </c>
      <c r="H220" s="11" t="s">
        <v>2282</v>
      </c>
      <c r="I220" s="11" t="s">
        <v>2283</v>
      </c>
      <c r="J220" s="10" t="s">
        <v>373</v>
      </c>
      <c r="K220" s="13" t="s">
        <v>2284</v>
      </c>
      <c r="L220" s="11" t="s">
        <v>2285</v>
      </c>
      <c r="M220" s="11" t="s">
        <v>2286</v>
      </c>
      <c r="N220" s="11" t="s">
        <v>2287</v>
      </c>
    </row>
    <row r="221" spans="1:14" ht="244.8">
      <c r="A221" s="8">
        <v>220</v>
      </c>
      <c r="B221" s="10" t="s">
        <v>2288</v>
      </c>
      <c r="C221" s="10" t="s">
        <v>2289</v>
      </c>
      <c r="D221" s="11" t="s">
        <v>2290</v>
      </c>
      <c r="E221" s="10" t="s">
        <v>311</v>
      </c>
      <c r="F221" s="10" t="s">
        <v>355</v>
      </c>
      <c r="G221" s="13" t="s">
        <v>2291</v>
      </c>
      <c r="H221" s="11" t="s">
        <v>2292</v>
      </c>
      <c r="I221" s="11" t="s">
        <v>2293</v>
      </c>
      <c r="J221" s="10" t="s">
        <v>485</v>
      </c>
      <c r="K221" s="13" t="s">
        <v>2231</v>
      </c>
      <c r="L221" s="11" t="s">
        <v>2294</v>
      </c>
      <c r="M221" s="11" t="s">
        <v>2295</v>
      </c>
      <c r="N221" s="11" t="s">
        <v>2296</v>
      </c>
    </row>
    <row r="222" spans="1:14" ht="216">
      <c r="A222" s="8">
        <v>221</v>
      </c>
      <c r="B222" s="10" t="s">
        <v>2297</v>
      </c>
      <c r="C222" s="10" t="s">
        <v>2298</v>
      </c>
      <c r="D222" s="11" t="s">
        <v>2299</v>
      </c>
      <c r="E222" s="10" t="s">
        <v>312</v>
      </c>
      <c r="F222" s="10" t="s">
        <v>355</v>
      </c>
      <c r="G222" s="13" t="s">
        <v>2291</v>
      </c>
      <c r="H222" s="11" t="s">
        <v>2300</v>
      </c>
      <c r="I222" s="11" t="s">
        <v>2301</v>
      </c>
      <c r="J222" s="10" t="s">
        <v>486</v>
      </c>
      <c r="K222" s="13" t="s">
        <v>2302</v>
      </c>
      <c r="L222" s="11" t="s">
        <v>2294</v>
      </c>
      <c r="M222" s="11" t="s">
        <v>2295</v>
      </c>
      <c r="N222" s="11" t="s">
        <v>2296</v>
      </c>
    </row>
    <row r="223" spans="1:14" ht="211.2">
      <c r="A223" s="8">
        <v>222</v>
      </c>
      <c r="B223" s="10" t="s">
        <v>190</v>
      </c>
      <c r="C223" s="10" t="s">
        <v>2303</v>
      </c>
      <c r="D223" s="11" t="s">
        <v>2304</v>
      </c>
      <c r="E223" s="10" t="s">
        <v>313</v>
      </c>
      <c r="F223" s="10" t="s">
        <v>344</v>
      </c>
      <c r="G223" s="13" t="s">
        <v>2305</v>
      </c>
      <c r="H223" s="11" t="s">
        <v>2306</v>
      </c>
      <c r="I223" s="11" t="s">
        <v>2307</v>
      </c>
      <c r="J223" s="10" t="s">
        <v>389</v>
      </c>
      <c r="K223" s="13" t="s">
        <v>2308</v>
      </c>
      <c r="L223" s="11" t="s">
        <v>2309</v>
      </c>
      <c r="M223" s="11" t="s">
        <v>2310</v>
      </c>
      <c r="N223" s="11" t="s">
        <v>2311</v>
      </c>
    </row>
    <row r="224" spans="1:14" ht="201.6">
      <c r="A224" s="8">
        <v>223</v>
      </c>
      <c r="B224" s="10" t="s">
        <v>2312</v>
      </c>
      <c r="C224" s="10" t="s">
        <v>2313</v>
      </c>
      <c r="D224" s="11" t="s">
        <v>2314</v>
      </c>
      <c r="E224" s="10" t="s">
        <v>314</v>
      </c>
      <c r="F224" s="10" t="s">
        <v>355</v>
      </c>
      <c r="G224" s="13" t="s">
        <v>2305</v>
      </c>
      <c r="H224" s="11" t="s">
        <v>2315</v>
      </c>
      <c r="I224" s="11" t="s">
        <v>2316</v>
      </c>
      <c r="J224" s="10" t="s">
        <v>487</v>
      </c>
      <c r="K224" s="13" t="s">
        <v>2308</v>
      </c>
      <c r="L224" s="11" t="s">
        <v>2309</v>
      </c>
      <c r="M224" s="11" t="s">
        <v>2310</v>
      </c>
      <c r="N224" s="11" t="s">
        <v>2311</v>
      </c>
    </row>
    <row r="225" spans="1:14" ht="216">
      <c r="A225" s="8">
        <v>224</v>
      </c>
      <c r="B225" s="10" t="s">
        <v>191</v>
      </c>
      <c r="C225" s="10" t="s">
        <v>2317</v>
      </c>
      <c r="D225" s="11" t="s">
        <v>2318</v>
      </c>
      <c r="E225" s="10" t="s">
        <v>222</v>
      </c>
      <c r="F225" s="10" t="s">
        <v>331</v>
      </c>
      <c r="G225" s="13" t="s">
        <v>2319</v>
      </c>
      <c r="H225" s="11" t="s">
        <v>2320</v>
      </c>
      <c r="I225" s="11" t="s">
        <v>2321</v>
      </c>
      <c r="J225" s="10" t="s">
        <v>376</v>
      </c>
      <c r="K225" s="13" t="s">
        <v>2322</v>
      </c>
      <c r="L225" s="11" t="s">
        <v>1844</v>
      </c>
      <c r="M225" s="11" t="s">
        <v>2323</v>
      </c>
      <c r="N225" s="11" t="s">
        <v>2324</v>
      </c>
    </row>
    <row r="226" spans="1:14" ht="216">
      <c r="A226" s="8">
        <v>225</v>
      </c>
      <c r="B226" s="10" t="s">
        <v>192</v>
      </c>
      <c r="C226" s="10" t="s">
        <v>2325</v>
      </c>
      <c r="D226" s="11" t="s">
        <v>2326</v>
      </c>
      <c r="E226" s="10" t="s">
        <v>222</v>
      </c>
      <c r="F226" s="10" t="s">
        <v>332</v>
      </c>
      <c r="G226" s="13" t="s">
        <v>2327</v>
      </c>
      <c r="H226" s="11" t="s">
        <v>2328</v>
      </c>
      <c r="I226" s="11" t="s">
        <v>2329</v>
      </c>
      <c r="J226" s="10" t="s">
        <v>376</v>
      </c>
      <c r="K226" s="13" t="s">
        <v>2330</v>
      </c>
      <c r="L226" s="11" t="s">
        <v>2331</v>
      </c>
      <c r="M226" s="11" t="s">
        <v>2332</v>
      </c>
      <c r="N226" s="11" t="s">
        <v>2333</v>
      </c>
    </row>
    <row r="227" spans="1:14" ht="230.4">
      <c r="A227" s="8">
        <v>226</v>
      </c>
      <c r="B227" s="10" t="s">
        <v>193</v>
      </c>
      <c r="C227" s="10" t="s">
        <v>2334</v>
      </c>
      <c r="D227" s="11" t="s">
        <v>2335</v>
      </c>
      <c r="E227" s="10" t="s">
        <v>222</v>
      </c>
      <c r="F227" s="10" t="s">
        <v>340</v>
      </c>
      <c r="G227" s="13" t="s">
        <v>2336</v>
      </c>
      <c r="H227" s="11" t="s">
        <v>2337</v>
      </c>
      <c r="I227" s="11" t="s">
        <v>2338</v>
      </c>
      <c r="J227" s="10" t="s">
        <v>387</v>
      </c>
      <c r="K227" s="13" t="s">
        <v>2339</v>
      </c>
      <c r="L227" s="11" t="s">
        <v>2340</v>
      </c>
      <c r="M227" s="11" t="s">
        <v>2341</v>
      </c>
      <c r="N227" s="11" t="s">
        <v>2342</v>
      </c>
    </row>
    <row r="228" spans="1:14" ht="187.2">
      <c r="A228" s="8">
        <v>227</v>
      </c>
      <c r="B228" s="10" t="s">
        <v>194</v>
      </c>
      <c r="C228" s="10" t="s">
        <v>2343</v>
      </c>
      <c r="D228" s="11" t="s">
        <v>2344</v>
      </c>
      <c r="E228" s="10" t="s">
        <v>222</v>
      </c>
      <c r="F228" s="10" t="s">
        <v>332</v>
      </c>
      <c r="G228" s="13" t="s">
        <v>2327</v>
      </c>
      <c r="H228" s="11" t="s">
        <v>2345</v>
      </c>
      <c r="I228" s="11" t="s">
        <v>2346</v>
      </c>
      <c r="J228" s="10" t="s">
        <v>376</v>
      </c>
      <c r="K228" s="13" t="s">
        <v>2347</v>
      </c>
      <c r="L228" s="11" t="s">
        <v>2331</v>
      </c>
      <c r="M228" s="11" t="s">
        <v>2332</v>
      </c>
      <c r="N228" s="11" t="s">
        <v>1608</v>
      </c>
    </row>
    <row r="229" spans="1:14" ht="230.4">
      <c r="A229" s="8">
        <v>228</v>
      </c>
      <c r="B229" s="10" t="s">
        <v>195</v>
      </c>
      <c r="C229" s="10" t="s">
        <v>2348</v>
      </c>
      <c r="D229" s="11" t="s">
        <v>2349</v>
      </c>
      <c r="E229" s="10" t="s">
        <v>222</v>
      </c>
      <c r="F229" s="10" t="s">
        <v>328</v>
      </c>
      <c r="G229" s="13" t="s">
        <v>2350</v>
      </c>
      <c r="H229" s="11" t="s">
        <v>2351</v>
      </c>
      <c r="I229" s="11" t="s">
        <v>2352</v>
      </c>
      <c r="J229" s="10" t="s">
        <v>488</v>
      </c>
      <c r="K229" s="13" t="s">
        <v>2353</v>
      </c>
      <c r="L229" s="11" t="s">
        <v>2354</v>
      </c>
      <c r="M229" s="11" t="s">
        <v>2355</v>
      </c>
      <c r="N229" s="11" t="s">
        <v>2356</v>
      </c>
    </row>
    <row r="230" spans="1:14" ht="288">
      <c r="A230" s="8">
        <v>229</v>
      </c>
      <c r="B230" s="10" t="s">
        <v>196</v>
      </c>
      <c r="C230" s="10" t="s">
        <v>2357</v>
      </c>
      <c r="D230" s="11" t="s">
        <v>2358</v>
      </c>
      <c r="E230" s="10" t="s">
        <v>315</v>
      </c>
      <c r="F230" s="10" t="s">
        <v>339</v>
      </c>
      <c r="G230" s="13" t="s">
        <v>2359</v>
      </c>
      <c r="H230" s="11" t="s">
        <v>2360</v>
      </c>
      <c r="I230" s="11" t="s">
        <v>2361</v>
      </c>
      <c r="J230" s="10" t="s">
        <v>389</v>
      </c>
      <c r="K230" s="13" t="s">
        <v>2362</v>
      </c>
      <c r="L230" s="11" t="s">
        <v>2363</v>
      </c>
      <c r="M230" s="11" t="s">
        <v>2364</v>
      </c>
      <c r="N230" s="11" t="s">
        <v>2365</v>
      </c>
    </row>
    <row r="231" spans="1:14" ht="345.6">
      <c r="A231" s="8">
        <v>230</v>
      </c>
      <c r="B231" s="10" t="s">
        <v>197</v>
      </c>
      <c r="C231" s="10" t="s">
        <v>2366</v>
      </c>
      <c r="D231" s="11" t="s">
        <v>2367</v>
      </c>
      <c r="E231" s="10" t="s">
        <v>224</v>
      </c>
      <c r="F231" s="10" t="s">
        <v>335</v>
      </c>
      <c r="G231" s="13" t="s">
        <v>2368</v>
      </c>
      <c r="H231" s="11" t="s">
        <v>2369</v>
      </c>
      <c r="I231" s="11" t="s">
        <v>2370</v>
      </c>
      <c r="J231" s="10" t="s">
        <v>489</v>
      </c>
      <c r="K231" s="13" t="s">
        <v>2371</v>
      </c>
      <c r="L231" s="11" t="s">
        <v>2372</v>
      </c>
      <c r="M231" s="11" t="s">
        <v>2373</v>
      </c>
      <c r="N231" s="11" t="s">
        <v>2374</v>
      </c>
    </row>
    <row r="232" spans="1:14" ht="211.2">
      <c r="A232" s="8">
        <v>231</v>
      </c>
      <c r="B232" s="10" t="s">
        <v>198</v>
      </c>
      <c r="C232" s="10" t="s">
        <v>2375</v>
      </c>
      <c r="D232" s="11" t="s">
        <v>2376</v>
      </c>
      <c r="E232" s="10" t="s">
        <v>225</v>
      </c>
      <c r="F232" s="10" t="s">
        <v>327</v>
      </c>
      <c r="G232" s="13" t="s">
        <v>2377</v>
      </c>
      <c r="H232" s="11" t="s">
        <v>2378</v>
      </c>
      <c r="I232" s="11" t="s">
        <v>2379</v>
      </c>
      <c r="J232" s="10" t="s">
        <v>490</v>
      </c>
      <c r="K232" s="13" t="s">
        <v>2231</v>
      </c>
      <c r="L232" s="11" t="s">
        <v>2380</v>
      </c>
      <c r="M232" s="11" t="s">
        <v>2381</v>
      </c>
      <c r="N232" s="11" t="s">
        <v>2382</v>
      </c>
    </row>
    <row r="233" spans="1:14" ht="230.4">
      <c r="A233" s="8">
        <v>232</v>
      </c>
      <c r="B233" s="10" t="s">
        <v>198</v>
      </c>
      <c r="C233" s="10" t="s">
        <v>2383</v>
      </c>
      <c r="D233" s="11" t="s">
        <v>2384</v>
      </c>
      <c r="E233" s="10" t="s">
        <v>222</v>
      </c>
      <c r="F233" s="10" t="s">
        <v>351</v>
      </c>
      <c r="G233" s="13" t="s">
        <v>2377</v>
      </c>
      <c r="H233" s="11" t="s">
        <v>2385</v>
      </c>
      <c r="I233" s="11" t="s">
        <v>2386</v>
      </c>
      <c r="J233" s="10" t="s">
        <v>376</v>
      </c>
      <c r="K233" s="13" t="s">
        <v>2231</v>
      </c>
      <c r="L233" s="11" t="s">
        <v>2380</v>
      </c>
      <c r="M233" s="11" t="s">
        <v>2381</v>
      </c>
      <c r="N233" s="11" t="s">
        <v>2382</v>
      </c>
    </row>
    <row r="234" spans="1:14" ht="230.4">
      <c r="A234" s="8">
        <v>233</v>
      </c>
      <c r="B234" s="10" t="s">
        <v>199</v>
      </c>
      <c r="C234" s="10" t="s">
        <v>2387</v>
      </c>
      <c r="D234" s="11" t="s">
        <v>2388</v>
      </c>
      <c r="E234" s="10" t="s">
        <v>316</v>
      </c>
      <c r="F234" s="10" t="s">
        <v>372</v>
      </c>
      <c r="G234" s="13" t="s">
        <v>2389</v>
      </c>
      <c r="H234" s="11" t="s">
        <v>2390</v>
      </c>
      <c r="I234" s="11" t="s">
        <v>2391</v>
      </c>
      <c r="J234" s="10" t="s">
        <v>355</v>
      </c>
      <c r="K234" s="13" t="s">
        <v>2392</v>
      </c>
      <c r="L234" s="11" t="s">
        <v>2393</v>
      </c>
      <c r="M234" s="11" t="s">
        <v>2394</v>
      </c>
      <c r="N234" s="11" t="s">
        <v>2395</v>
      </c>
    </row>
    <row r="235" spans="1:14" ht="216">
      <c r="A235" s="8">
        <v>234</v>
      </c>
      <c r="B235" s="10" t="s">
        <v>2396</v>
      </c>
      <c r="C235" s="10" t="s">
        <v>2397</v>
      </c>
      <c r="D235" s="11" t="s">
        <v>2398</v>
      </c>
      <c r="E235" s="10" t="s">
        <v>317</v>
      </c>
      <c r="F235" s="10" t="s">
        <v>355</v>
      </c>
      <c r="G235" s="13" t="s">
        <v>2399</v>
      </c>
      <c r="H235" s="11" t="s">
        <v>2400</v>
      </c>
      <c r="I235" s="11" t="s">
        <v>2401</v>
      </c>
      <c r="J235" s="10" t="s">
        <v>491</v>
      </c>
      <c r="K235" s="13" t="s">
        <v>2402</v>
      </c>
      <c r="L235" s="11" t="s">
        <v>660</v>
      </c>
      <c r="M235" s="11" t="s">
        <v>2403</v>
      </c>
      <c r="N235" s="11" t="s">
        <v>2404</v>
      </c>
    </row>
    <row r="236" spans="1:14" ht="172.8">
      <c r="A236" s="8">
        <v>235</v>
      </c>
      <c r="B236" s="10" t="s">
        <v>2405</v>
      </c>
      <c r="C236" s="10" t="s">
        <v>2406</v>
      </c>
      <c r="D236" s="11" t="s">
        <v>2407</v>
      </c>
      <c r="E236" s="10" t="s">
        <v>318</v>
      </c>
      <c r="F236" s="10" t="s">
        <v>355</v>
      </c>
      <c r="G236" s="13" t="s">
        <v>2408</v>
      </c>
      <c r="H236" s="11" t="s">
        <v>2409</v>
      </c>
      <c r="I236" s="11" t="s">
        <v>2410</v>
      </c>
      <c r="J236" s="10" t="s">
        <v>330</v>
      </c>
      <c r="K236" s="13" t="s">
        <v>2411</v>
      </c>
      <c r="L236" s="11" t="s">
        <v>2412</v>
      </c>
      <c r="M236" s="11" t="s">
        <v>2413</v>
      </c>
      <c r="N236" s="11" t="s">
        <v>2414</v>
      </c>
    </row>
    <row r="237" spans="1:14" ht="201.6">
      <c r="A237" s="8">
        <v>236</v>
      </c>
      <c r="B237" s="10" t="s">
        <v>200</v>
      </c>
      <c r="C237" s="10" t="s">
        <v>2415</v>
      </c>
      <c r="D237" s="11" t="s">
        <v>2416</v>
      </c>
      <c r="E237" s="10" t="s">
        <v>319</v>
      </c>
      <c r="F237" s="10" t="s">
        <v>368</v>
      </c>
      <c r="G237" s="13" t="s">
        <v>2417</v>
      </c>
      <c r="H237" s="11" t="s">
        <v>2418</v>
      </c>
      <c r="I237" s="11" t="s">
        <v>2419</v>
      </c>
      <c r="J237" s="10" t="s">
        <v>399</v>
      </c>
      <c r="K237" s="13" t="s">
        <v>2231</v>
      </c>
      <c r="L237" s="11" t="s">
        <v>2420</v>
      </c>
      <c r="M237" s="11" t="s">
        <v>2421</v>
      </c>
      <c r="N237" s="11" t="s">
        <v>2422</v>
      </c>
    </row>
    <row r="238" spans="1:14" ht="201.6">
      <c r="A238" s="8">
        <v>237</v>
      </c>
      <c r="B238" s="10" t="s">
        <v>200</v>
      </c>
      <c r="C238" s="10" t="s">
        <v>2415</v>
      </c>
      <c r="D238" s="11" t="s">
        <v>2416</v>
      </c>
      <c r="E238" s="10" t="s">
        <v>280</v>
      </c>
      <c r="F238" s="10" t="s">
        <v>355</v>
      </c>
      <c r="G238" s="13" t="s">
        <v>2417</v>
      </c>
      <c r="H238" s="11" t="s">
        <v>2418</v>
      </c>
      <c r="I238" s="11" t="s">
        <v>2419</v>
      </c>
      <c r="J238" s="10" t="s">
        <v>492</v>
      </c>
      <c r="K238" s="13" t="s">
        <v>2231</v>
      </c>
      <c r="L238" s="11" t="s">
        <v>2420</v>
      </c>
      <c r="M238" s="11" t="s">
        <v>2421</v>
      </c>
      <c r="N238" s="11" t="s">
        <v>2422</v>
      </c>
    </row>
    <row r="239" spans="1:14" ht="187.2">
      <c r="A239" s="8">
        <v>238</v>
      </c>
      <c r="B239" s="10" t="s">
        <v>201</v>
      </c>
      <c r="C239" s="10" t="s">
        <v>2423</v>
      </c>
      <c r="D239" s="11" t="s">
        <v>2424</v>
      </c>
      <c r="E239" s="10" t="s">
        <v>320</v>
      </c>
      <c r="F239" s="10" t="s">
        <v>332</v>
      </c>
      <c r="G239" s="13" t="s">
        <v>2425</v>
      </c>
      <c r="H239" s="11" t="s">
        <v>2426</v>
      </c>
      <c r="I239" s="11" t="s">
        <v>2427</v>
      </c>
      <c r="J239" s="10" t="s">
        <v>399</v>
      </c>
      <c r="K239" s="13" t="s">
        <v>2428</v>
      </c>
      <c r="L239" s="11" t="s">
        <v>660</v>
      </c>
      <c r="M239" s="11" t="s">
        <v>2429</v>
      </c>
      <c r="N239" s="11" t="s">
        <v>2430</v>
      </c>
    </row>
    <row r="240" spans="1:14" ht="187.2">
      <c r="A240" s="8">
        <v>239</v>
      </c>
      <c r="B240" s="10" t="s">
        <v>2431</v>
      </c>
      <c r="C240" s="10" t="s">
        <v>2432</v>
      </c>
      <c r="D240" s="11" t="s">
        <v>2433</v>
      </c>
      <c r="E240" s="10" t="s">
        <v>321</v>
      </c>
      <c r="F240" s="10" t="s">
        <v>355</v>
      </c>
      <c r="G240" s="13" t="s">
        <v>2434</v>
      </c>
      <c r="H240" s="11" t="s">
        <v>2435</v>
      </c>
      <c r="I240" s="11" t="s">
        <v>2436</v>
      </c>
      <c r="J240" s="10" t="s">
        <v>493</v>
      </c>
      <c r="K240" s="13" t="s">
        <v>2437</v>
      </c>
      <c r="L240" s="11" t="s">
        <v>2438</v>
      </c>
      <c r="M240" s="11" t="s">
        <v>2439</v>
      </c>
      <c r="N240" s="11" t="s">
        <v>2440</v>
      </c>
    </row>
    <row r="241" spans="1:14" ht="158.4">
      <c r="A241" s="8">
        <v>240</v>
      </c>
      <c r="B241" s="10" t="s">
        <v>2441</v>
      </c>
      <c r="C241" s="10" t="s">
        <v>2442</v>
      </c>
      <c r="D241" s="11" t="s">
        <v>2443</v>
      </c>
      <c r="E241" s="10" t="s">
        <v>280</v>
      </c>
      <c r="F241" s="10" t="s">
        <v>355</v>
      </c>
      <c r="G241" s="13" t="s">
        <v>2444</v>
      </c>
      <c r="H241" s="11" t="s">
        <v>2445</v>
      </c>
      <c r="I241" s="11" t="s">
        <v>2446</v>
      </c>
      <c r="J241" s="10" t="s">
        <v>494</v>
      </c>
      <c r="K241" s="13" t="s">
        <v>2447</v>
      </c>
      <c r="L241" s="11" t="s">
        <v>660</v>
      </c>
      <c r="M241" s="11" t="s">
        <v>660</v>
      </c>
      <c r="N241" s="11" t="s">
        <v>2448</v>
      </c>
    </row>
    <row r="242" spans="1:14" ht="237.6">
      <c r="A242" s="8">
        <v>241</v>
      </c>
      <c r="B242" s="10" t="s">
        <v>202</v>
      </c>
      <c r="C242" s="10" t="s">
        <v>2449</v>
      </c>
      <c r="D242" s="11" t="s">
        <v>2450</v>
      </c>
      <c r="E242" s="10" t="s">
        <v>222</v>
      </c>
      <c r="F242" s="10" t="s">
        <v>353</v>
      </c>
      <c r="G242" s="13" t="s">
        <v>2451</v>
      </c>
      <c r="H242" s="11" t="s">
        <v>2452</v>
      </c>
      <c r="I242" s="11" t="s">
        <v>2453</v>
      </c>
      <c r="J242" s="10" t="s">
        <v>376</v>
      </c>
      <c r="K242" s="13" t="s">
        <v>2454</v>
      </c>
      <c r="L242" s="11" t="s">
        <v>2455</v>
      </c>
      <c r="M242" s="11" t="s">
        <v>2456</v>
      </c>
      <c r="N242" s="11" t="s">
        <v>519</v>
      </c>
    </row>
    <row r="243" spans="1:14" ht="211.2">
      <c r="A243" s="8">
        <v>242</v>
      </c>
      <c r="B243" s="10" t="s">
        <v>203</v>
      </c>
      <c r="C243" s="10" t="s">
        <v>2457</v>
      </c>
      <c r="D243" s="11" t="s">
        <v>2458</v>
      </c>
      <c r="E243" s="10" t="s">
        <v>222</v>
      </c>
      <c r="F243" s="10" t="s">
        <v>353</v>
      </c>
      <c r="G243" s="13" t="s">
        <v>2451</v>
      </c>
      <c r="H243" s="11" t="s">
        <v>2459</v>
      </c>
      <c r="I243" s="11" t="s">
        <v>2460</v>
      </c>
      <c r="J243" s="10" t="s">
        <v>376</v>
      </c>
      <c r="K243" s="13" t="s">
        <v>2461</v>
      </c>
      <c r="L243" s="11" t="s">
        <v>2455</v>
      </c>
      <c r="M243" s="11" t="s">
        <v>2456</v>
      </c>
      <c r="N243" s="11" t="s">
        <v>519</v>
      </c>
    </row>
    <row r="244" spans="1:14" ht="302.39999999999998">
      <c r="A244" s="8">
        <v>243</v>
      </c>
      <c r="B244" s="10" t="s">
        <v>204</v>
      </c>
      <c r="C244" s="10" t="s">
        <v>2462</v>
      </c>
      <c r="D244" s="11" t="s">
        <v>2463</v>
      </c>
      <c r="E244" s="10" t="s">
        <v>222</v>
      </c>
      <c r="F244" s="10" t="s">
        <v>331</v>
      </c>
      <c r="G244" s="13" t="s">
        <v>2464</v>
      </c>
      <c r="H244" s="11" t="s">
        <v>2465</v>
      </c>
      <c r="I244" s="11" t="s">
        <v>2466</v>
      </c>
      <c r="J244" s="10" t="s">
        <v>376</v>
      </c>
      <c r="K244" s="13" t="s">
        <v>2467</v>
      </c>
      <c r="L244" s="11" t="s">
        <v>2468</v>
      </c>
      <c r="M244" s="11" t="s">
        <v>2469</v>
      </c>
      <c r="N244" s="11" t="s">
        <v>2470</v>
      </c>
    </row>
    <row r="245" spans="1:14" ht="302.39999999999998">
      <c r="A245" s="8">
        <v>244</v>
      </c>
      <c r="B245" s="10" t="s">
        <v>205</v>
      </c>
      <c r="C245" s="10" t="s">
        <v>2471</v>
      </c>
      <c r="D245" s="11" t="s">
        <v>2472</v>
      </c>
      <c r="E245" s="10" t="s">
        <v>222</v>
      </c>
      <c r="F245" s="10" t="s">
        <v>331</v>
      </c>
      <c r="G245" s="13" t="s">
        <v>2464</v>
      </c>
      <c r="H245" s="11" t="s">
        <v>2473</v>
      </c>
      <c r="I245" s="11" t="s">
        <v>2474</v>
      </c>
      <c r="J245" s="10" t="s">
        <v>376</v>
      </c>
      <c r="K245" s="13" t="s">
        <v>2467</v>
      </c>
      <c r="L245" s="11" t="s">
        <v>2468</v>
      </c>
      <c r="M245" s="11" t="s">
        <v>2469</v>
      </c>
      <c r="N245" s="11" t="s">
        <v>2470</v>
      </c>
    </row>
    <row r="246" spans="1:14" ht="374.4">
      <c r="A246" s="8">
        <v>245</v>
      </c>
      <c r="B246" s="10" t="s">
        <v>206</v>
      </c>
      <c r="C246" s="10" t="s">
        <v>2475</v>
      </c>
      <c r="D246" s="11" t="s">
        <v>2476</v>
      </c>
      <c r="E246" s="10" t="s">
        <v>222</v>
      </c>
      <c r="F246" s="10" t="s">
        <v>355</v>
      </c>
      <c r="G246" s="13" t="s">
        <v>2477</v>
      </c>
      <c r="H246" s="11" t="s">
        <v>2478</v>
      </c>
      <c r="I246" s="11" t="s">
        <v>2479</v>
      </c>
      <c r="J246" s="10" t="s">
        <v>495</v>
      </c>
      <c r="K246" s="13" t="s">
        <v>2480</v>
      </c>
      <c r="L246" s="11" t="s">
        <v>2481</v>
      </c>
      <c r="M246" s="11" t="s">
        <v>2482</v>
      </c>
      <c r="N246" s="11" t="s">
        <v>2483</v>
      </c>
    </row>
    <row r="247" spans="1:14" ht="374.4">
      <c r="A247" s="8">
        <v>246</v>
      </c>
      <c r="B247" s="10" t="s">
        <v>206</v>
      </c>
      <c r="C247" s="10" t="s">
        <v>2475</v>
      </c>
      <c r="D247" s="11" t="s">
        <v>2476</v>
      </c>
      <c r="E247" s="10" t="s">
        <v>224</v>
      </c>
      <c r="F247" s="10" t="s">
        <v>355</v>
      </c>
      <c r="G247" s="13" t="s">
        <v>2477</v>
      </c>
      <c r="H247" s="11" t="s">
        <v>2484</v>
      </c>
      <c r="I247" s="11" t="s">
        <v>2485</v>
      </c>
      <c r="J247" s="10" t="s">
        <v>495</v>
      </c>
      <c r="K247" s="13" t="s">
        <v>2480</v>
      </c>
      <c r="L247" s="11" t="s">
        <v>2481</v>
      </c>
      <c r="M247" s="11" t="s">
        <v>2486</v>
      </c>
      <c r="N247" s="11" t="s">
        <v>2483</v>
      </c>
    </row>
    <row r="248" spans="1:14" ht="211.2">
      <c r="A248" s="8">
        <v>247</v>
      </c>
      <c r="B248" s="10" t="s">
        <v>207</v>
      </c>
      <c r="C248" s="10" t="s">
        <v>2487</v>
      </c>
      <c r="D248" s="11" t="s">
        <v>2488</v>
      </c>
      <c r="E248" s="10" t="s">
        <v>222</v>
      </c>
      <c r="F248" s="10" t="s">
        <v>327</v>
      </c>
      <c r="G248" s="13" t="s">
        <v>2489</v>
      </c>
      <c r="H248" s="11" t="s">
        <v>2490</v>
      </c>
      <c r="I248" s="11" t="s">
        <v>2491</v>
      </c>
      <c r="J248" s="10" t="s">
        <v>496</v>
      </c>
      <c r="K248" s="13" t="s">
        <v>2492</v>
      </c>
      <c r="L248" s="11" t="s">
        <v>2493</v>
      </c>
      <c r="M248" s="11" t="s">
        <v>2494</v>
      </c>
      <c r="N248" s="11" t="s">
        <v>2495</v>
      </c>
    </row>
    <row r="249" spans="1:14" ht="211.2">
      <c r="A249" s="8">
        <v>248</v>
      </c>
      <c r="B249" s="10" t="s">
        <v>208</v>
      </c>
      <c r="C249" s="10" t="s">
        <v>2496</v>
      </c>
      <c r="D249" s="11" t="s">
        <v>2497</v>
      </c>
      <c r="E249" s="10" t="s">
        <v>222</v>
      </c>
      <c r="F249" s="10" t="s">
        <v>328</v>
      </c>
      <c r="G249" s="13" t="s">
        <v>2498</v>
      </c>
      <c r="H249" s="11" t="s">
        <v>2499</v>
      </c>
      <c r="I249" s="11" t="s">
        <v>2500</v>
      </c>
      <c r="J249" s="10" t="s">
        <v>387</v>
      </c>
      <c r="K249" s="13" t="s">
        <v>2501</v>
      </c>
      <c r="L249" s="11" t="s">
        <v>2502</v>
      </c>
      <c r="M249" s="11" t="s">
        <v>2503</v>
      </c>
      <c r="N249" s="11" t="s">
        <v>2504</v>
      </c>
    </row>
    <row r="250" spans="1:14" ht="237.6">
      <c r="A250" s="8">
        <v>249</v>
      </c>
      <c r="B250" s="10" t="s">
        <v>209</v>
      </c>
      <c r="C250" s="10" t="s">
        <v>2505</v>
      </c>
      <c r="D250" s="11" t="s">
        <v>2506</v>
      </c>
      <c r="E250" s="10" t="s">
        <v>222</v>
      </c>
      <c r="F250" s="10" t="s">
        <v>340</v>
      </c>
      <c r="G250" s="13" t="s">
        <v>2498</v>
      </c>
      <c r="H250" s="11" t="s">
        <v>2507</v>
      </c>
      <c r="I250" s="11" t="s">
        <v>2508</v>
      </c>
      <c r="J250" s="10" t="s">
        <v>387</v>
      </c>
      <c r="K250" s="13" t="s">
        <v>2509</v>
      </c>
      <c r="L250" s="11" t="s">
        <v>2502</v>
      </c>
      <c r="M250" s="11" t="s">
        <v>2503</v>
      </c>
      <c r="N250" s="11" t="s">
        <v>2504</v>
      </c>
    </row>
    <row r="251" spans="1:14" ht="224.4">
      <c r="A251" s="8">
        <v>250</v>
      </c>
      <c r="B251" s="10" t="s">
        <v>210</v>
      </c>
      <c r="C251" s="10" t="s">
        <v>2510</v>
      </c>
      <c r="D251" s="11" t="s">
        <v>2511</v>
      </c>
      <c r="E251" s="10" t="s">
        <v>235</v>
      </c>
      <c r="F251" s="10" t="s">
        <v>333</v>
      </c>
      <c r="G251" s="13" t="s">
        <v>2512</v>
      </c>
      <c r="H251" s="11" t="s">
        <v>2513</v>
      </c>
      <c r="I251" s="11" t="s">
        <v>2514</v>
      </c>
      <c r="J251" s="10" t="s">
        <v>210</v>
      </c>
      <c r="K251" s="13" t="s">
        <v>2515</v>
      </c>
      <c r="L251" s="11" t="s">
        <v>2516</v>
      </c>
      <c r="M251" s="11" t="s">
        <v>2517</v>
      </c>
      <c r="N251" s="11" t="s">
        <v>2518</v>
      </c>
    </row>
    <row r="252" spans="1:14" ht="211.2">
      <c r="A252" s="8">
        <v>251</v>
      </c>
      <c r="B252" s="10" t="s">
        <v>211</v>
      </c>
      <c r="C252" s="10" t="s">
        <v>2519</v>
      </c>
      <c r="D252" s="11" t="s">
        <v>2520</v>
      </c>
      <c r="E252" s="10" t="s">
        <v>222</v>
      </c>
      <c r="F252" s="10" t="s">
        <v>331</v>
      </c>
      <c r="G252" s="13" t="s">
        <v>2521</v>
      </c>
      <c r="H252" s="11" t="s">
        <v>2522</v>
      </c>
      <c r="I252" s="11" t="s">
        <v>2523</v>
      </c>
      <c r="J252" s="10" t="s">
        <v>376</v>
      </c>
      <c r="K252" s="13" t="s">
        <v>2524</v>
      </c>
      <c r="L252" s="11" t="s">
        <v>2525</v>
      </c>
      <c r="M252" s="11" t="s">
        <v>2526</v>
      </c>
      <c r="N252" s="11" t="s">
        <v>2527</v>
      </c>
    </row>
    <row r="253" spans="1:14" ht="331.2">
      <c r="A253" s="8">
        <v>252</v>
      </c>
      <c r="B253" s="10" t="s">
        <v>212</v>
      </c>
      <c r="C253" s="10" t="s">
        <v>2528</v>
      </c>
      <c r="D253" s="11" t="s">
        <v>2529</v>
      </c>
      <c r="E253" s="10" t="s">
        <v>322</v>
      </c>
      <c r="F253" s="10" t="s">
        <v>339</v>
      </c>
      <c r="G253" s="13" t="s">
        <v>2530</v>
      </c>
      <c r="H253" s="11" t="s">
        <v>2531</v>
      </c>
      <c r="I253" s="11" t="s">
        <v>2532</v>
      </c>
      <c r="J253" s="10" t="s">
        <v>373</v>
      </c>
      <c r="K253" s="13" t="s">
        <v>2533</v>
      </c>
      <c r="L253" s="11" t="s">
        <v>2534</v>
      </c>
      <c r="M253" s="11" t="s">
        <v>2535</v>
      </c>
      <c r="N253" s="11" t="s">
        <v>2536</v>
      </c>
    </row>
    <row r="254" spans="1:14" ht="302.39999999999998">
      <c r="A254" s="8">
        <v>253</v>
      </c>
      <c r="B254" s="10" t="s">
        <v>213</v>
      </c>
      <c r="C254" s="10" t="s">
        <v>2537</v>
      </c>
      <c r="D254" s="11" t="s">
        <v>2538</v>
      </c>
      <c r="E254" s="10" t="s">
        <v>230</v>
      </c>
      <c r="F254" s="10" t="s">
        <v>342</v>
      </c>
      <c r="G254" s="13" t="s">
        <v>2539</v>
      </c>
      <c r="H254" s="11" t="s">
        <v>2540</v>
      </c>
      <c r="I254" s="11" t="s">
        <v>2541</v>
      </c>
      <c r="J254" s="10" t="s">
        <v>389</v>
      </c>
      <c r="K254" s="13" t="s">
        <v>2542</v>
      </c>
      <c r="L254" s="11" t="s">
        <v>2543</v>
      </c>
      <c r="M254" s="11" t="s">
        <v>2544</v>
      </c>
      <c r="N254" s="11" t="s">
        <v>2545</v>
      </c>
    </row>
    <row r="255" spans="1:14" ht="316.8">
      <c r="A255" s="8">
        <v>254</v>
      </c>
      <c r="B255" s="10" t="s">
        <v>214</v>
      </c>
      <c r="C255" s="10" t="s">
        <v>2546</v>
      </c>
      <c r="D255" s="11" t="s">
        <v>2547</v>
      </c>
      <c r="E255" s="10" t="s">
        <v>225</v>
      </c>
      <c r="F255" s="10" t="s">
        <v>342</v>
      </c>
      <c r="G255" s="13" t="s">
        <v>2548</v>
      </c>
      <c r="H255" s="11" t="s">
        <v>2549</v>
      </c>
      <c r="I255" s="11" t="s">
        <v>2550</v>
      </c>
      <c r="J255" s="10" t="s">
        <v>497</v>
      </c>
      <c r="K255" s="13" t="s">
        <v>2551</v>
      </c>
      <c r="L255" s="11" t="s">
        <v>2552</v>
      </c>
      <c r="M255" s="11" t="s">
        <v>2553</v>
      </c>
      <c r="N255" s="11" t="s">
        <v>2554</v>
      </c>
    </row>
    <row r="256" spans="1:14" ht="290.39999999999998">
      <c r="A256" s="8">
        <v>255</v>
      </c>
      <c r="B256" s="10" t="s">
        <v>215</v>
      </c>
      <c r="C256" s="10" t="s">
        <v>2555</v>
      </c>
      <c r="D256" s="11" t="s">
        <v>2556</v>
      </c>
      <c r="E256" s="10" t="s">
        <v>222</v>
      </c>
      <c r="F256" s="10" t="s">
        <v>353</v>
      </c>
      <c r="G256" s="13" t="s">
        <v>2557</v>
      </c>
      <c r="H256" s="11" t="s">
        <v>2558</v>
      </c>
      <c r="I256" s="11" t="s">
        <v>2559</v>
      </c>
      <c r="J256" s="10" t="s">
        <v>376</v>
      </c>
      <c r="K256" s="13" t="s">
        <v>2560</v>
      </c>
      <c r="L256" s="11" t="s">
        <v>660</v>
      </c>
      <c r="M256" s="11" t="s">
        <v>660</v>
      </c>
      <c r="N256" s="11" t="s">
        <v>2561</v>
      </c>
    </row>
    <row r="257" spans="1:14" ht="316.8">
      <c r="A257" s="8">
        <v>256</v>
      </c>
      <c r="B257" s="10" t="s">
        <v>216</v>
      </c>
      <c r="C257" s="10" t="s">
        <v>2562</v>
      </c>
      <c r="D257" s="11" t="s">
        <v>2563</v>
      </c>
      <c r="E257" s="10" t="s">
        <v>323</v>
      </c>
      <c r="F257" s="10" t="s">
        <v>340</v>
      </c>
      <c r="G257" s="13" t="s">
        <v>2564</v>
      </c>
      <c r="H257" s="11" t="s">
        <v>2565</v>
      </c>
      <c r="I257" s="11" t="s">
        <v>2566</v>
      </c>
      <c r="J257" s="10" t="s">
        <v>389</v>
      </c>
      <c r="K257" s="13" t="s">
        <v>2567</v>
      </c>
      <c r="L257" s="11" t="s">
        <v>2568</v>
      </c>
      <c r="M257" s="11" t="s">
        <v>2569</v>
      </c>
      <c r="N257" s="11" t="s">
        <v>2570</v>
      </c>
    </row>
    <row r="258" spans="1:14" ht="345.6">
      <c r="A258" s="8">
        <v>257</v>
      </c>
      <c r="B258" s="10" t="s">
        <v>216</v>
      </c>
      <c r="C258" s="29" t="s">
        <v>2562</v>
      </c>
      <c r="D258" s="11" t="s">
        <v>2563</v>
      </c>
      <c r="E258" s="10" t="s">
        <v>324</v>
      </c>
      <c r="F258" s="10" t="s">
        <v>340</v>
      </c>
      <c r="G258" s="13" t="s">
        <v>2564</v>
      </c>
      <c r="H258" s="11" t="s">
        <v>2565</v>
      </c>
      <c r="I258" s="11" t="s">
        <v>2566</v>
      </c>
      <c r="J258" s="10" t="s">
        <v>498</v>
      </c>
      <c r="K258" s="13" t="s">
        <v>2567</v>
      </c>
      <c r="L258" s="11" t="s">
        <v>2568</v>
      </c>
      <c r="M258" s="11" t="s">
        <v>2569</v>
      </c>
      <c r="N258" s="11" t="s">
        <v>2570</v>
      </c>
    </row>
    <row r="259" spans="1:14" ht="264">
      <c r="A259" s="8">
        <v>258</v>
      </c>
      <c r="B259" s="10" t="s">
        <v>2571</v>
      </c>
      <c r="C259" s="10" t="s">
        <v>2572</v>
      </c>
      <c r="D259" s="11" t="s">
        <v>2573</v>
      </c>
      <c r="E259" s="10" t="s">
        <v>325</v>
      </c>
      <c r="F259" s="10" t="s">
        <v>353</v>
      </c>
      <c r="G259" s="13" t="s">
        <v>2574</v>
      </c>
      <c r="H259" s="11" t="s">
        <v>2575</v>
      </c>
      <c r="I259" s="11" t="s">
        <v>2576</v>
      </c>
      <c r="J259" s="10" t="s">
        <v>499</v>
      </c>
      <c r="K259" s="11" t="s">
        <v>660</v>
      </c>
      <c r="L259" s="11" t="s">
        <v>660</v>
      </c>
      <c r="M259" s="11" t="s">
        <v>660</v>
      </c>
      <c r="N259" s="11" t="s">
        <v>2577</v>
      </c>
    </row>
    <row r="260" spans="1:14" ht="237.6">
      <c r="A260" s="8">
        <v>259</v>
      </c>
      <c r="B260" s="10" t="s">
        <v>217</v>
      </c>
      <c r="C260" s="10" t="s">
        <v>2578</v>
      </c>
      <c r="D260" s="11" t="s">
        <v>2579</v>
      </c>
      <c r="E260" s="10" t="s">
        <v>326</v>
      </c>
      <c r="F260" s="10" t="s">
        <v>353</v>
      </c>
      <c r="G260" s="13" t="s">
        <v>2580</v>
      </c>
      <c r="H260" s="11" t="s">
        <v>2581</v>
      </c>
      <c r="I260" s="11" t="s">
        <v>2582</v>
      </c>
      <c r="J260" s="10" t="s">
        <v>399</v>
      </c>
      <c r="K260" s="13" t="s">
        <v>2583</v>
      </c>
      <c r="L260" s="31" t="s">
        <v>2584</v>
      </c>
      <c r="M260" s="11" t="s">
        <v>2585</v>
      </c>
      <c r="N260" s="11" t="s">
        <v>2586</v>
      </c>
    </row>
    <row r="261" spans="1:14" ht="345.6">
      <c r="A261" s="1">
        <v>260</v>
      </c>
      <c r="B261" t="s">
        <v>2587</v>
      </c>
      <c r="C261" s="2" t="s">
        <v>2588</v>
      </c>
      <c r="D261" s="2" t="s">
        <v>2589</v>
      </c>
      <c r="E261" s="32" t="s">
        <v>2590</v>
      </c>
      <c r="F261" s="32" t="s">
        <v>2591</v>
      </c>
      <c r="G261" s="33" t="s">
        <v>2592</v>
      </c>
      <c r="H261" s="2" t="s">
        <v>2593</v>
      </c>
      <c r="I261" s="2" t="s">
        <v>2594</v>
      </c>
      <c r="J261" s="32" t="s">
        <v>2595</v>
      </c>
      <c r="K261" s="33" t="s">
        <v>2596</v>
      </c>
      <c r="L261" s="2" t="s">
        <v>1844</v>
      </c>
      <c r="M261" s="2" t="s">
        <v>2598</v>
      </c>
      <c r="N261" s="34" t="s">
        <v>2597</v>
      </c>
    </row>
  </sheetData>
  <hyperlinks>
    <hyperlink ref="G3" r:id="rId1" xr:uid="{28CC6637-5A7B-4C7F-AE99-D94D561C687B}"/>
    <hyperlink ref="K4" r:id="rId2" xr:uid="{4B648146-A461-4213-9354-B84022F2618E}"/>
    <hyperlink ref="N4" r:id="rId3" xr:uid="{1F31F1F3-3FCC-4EE3-A06B-F0BA70A35294}"/>
    <hyperlink ref="G5" r:id="rId4" xr:uid="{E0EF62EE-DA7A-45EB-B554-619B25FA913B}"/>
    <hyperlink ref="K5" r:id="rId5" xr:uid="{1EE329C7-0F91-403E-B126-4AD1C67AAD57}"/>
    <hyperlink ref="N5" r:id="rId6" xr:uid="{D3100066-CA8B-4F46-8F75-C57C448AA3E4}"/>
    <hyperlink ref="G6" r:id="rId7" xr:uid="{2E755E45-2A0A-444B-AC9D-9B14B3CE319C}"/>
    <hyperlink ref="K6" r:id="rId8" xr:uid="{517F7DBD-E023-4EDD-85B0-9B81AAF9679D}"/>
    <hyperlink ref="N6" r:id="rId9" xr:uid="{E0A7EA82-4E9C-48A7-B54F-98E40829D5A6}"/>
    <hyperlink ref="G7" r:id="rId10" xr:uid="{09F21FFD-B2CD-4095-885D-C7A2F868D35D}"/>
    <hyperlink ref="N7" r:id="rId11" xr:uid="{AFB60559-FF80-41BE-A92A-C7D5F102F836}"/>
    <hyperlink ref="G8" r:id="rId12" xr:uid="{9570E701-DD02-40B8-8F73-0983067D3B98}"/>
    <hyperlink ref="K8" r:id="rId13" xr:uid="{06F7631F-26A4-4527-A482-BA30274AF625}"/>
    <hyperlink ref="N8" r:id="rId14" xr:uid="{E088B44E-A6B2-4B28-BE9C-255FEA8A2260}"/>
    <hyperlink ref="G9" r:id="rId15" xr:uid="{22688D74-CE70-4C75-82CF-D2F6ABEDC0A1}"/>
    <hyperlink ref="K9" r:id="rId16" xr:uid="{6B6A32AA-A66A-4088-AF2F-06F717190EF3}"/>
    <hyperlink ref="G10" r:id="rId17" xr:uid="{19E56181-7538-4D86-8951-86569F49454C}"/>
    <hyperlink ref="K10" r:id="rId18" xr:uid="{E070CAD2-2C35-44D7-9F6D-5A7C56A309D8}"/>
    <hyperlink ref="N10" r:id="rId19" xr:uid="{F8F72660-55EC-433C-B34C-3D258B6B7E50}"/>
    <hyperlink ref="G11" r:id="rId20" xr:uid="{AF4BF9CD-6588-43FC-ABDA-B703813E16F7}"/>
    <hyperlink ref="K11" r:id="rId21" xr:uid="{F6A3EF61-207B-4032-BAB3-F349BF2A51AC}"/>
    <hyperlink ref="N11" r:id="rId22" xr:uid="{BF14B6FA-2A30-45A5-9B05-420F7C041A37}"/>
    <hyperlink ref="G12" r:id="rId23" xr:uid="{23B6B6F0-EAB4-4891-83FA-70100352BF16}"/>
    <hyperlink ref="K12" r:id="rId24" xr:uid="{4FA4DB52-8D29-4EEA-98B3-688BB34A110C}"/>
    <hyperlink ref="N12" r:id="rId25" xr:uid="{4870DF8D-5405-4CF5-8F54-5D52ED873295}"/>
    <hyperlink ref="N13" r:id="rId26" xr:uid="{5AB3BBF1-6CE6-4AEC-934A-36330209235F}"/>
    <hyperlink ref="G14" r:id="rId27" xr:uid="{E72177B2-3697-4009-9978-4AA4575ED846}"/>
    <hyperlink ref="K14" r:id="rId28" xr:uid="{79624550-3980-4D0E-B76C-B9586464B031}"/>
    <hyperlink ref="N14" r:id="rId29" xr:uid="{6F3379E2-A43A-4390-9174-78840DC20DDB}"/>
    <hyperlink ref="G15" r:id="rId30" xr:uid="{841C3EB2-8698-43BF-AD64-FCF7CDA21CBD}"/>
    <hyperlink ref="K15" r:id="rId31" xr:uid="{7138A4AE-0DB8-494C-B232-47AC7C230A06}"/>
    <hyperlink ref="N15" r:id="rId32" xr:uid="{2AC9220E-F88E-429E-89F0-A9595BC4DEFE}"/>
    <hyperlink ref="G16" r:id="rId33" xr:uid="{A65ECC50-989A-4F0F-83F5-45C734C3B449}"/>
    <hyperlink ref="K16" r:id="rId34" xr:uid="{AE610F5C-301D-4F4B-AA8B-A68020ECBD9A}"/>
    <hyperlink ref="N16" r:id="rId35" xr:uid="{CCBD52F5-AA02-4068-969B-1FE860CFDD46}"/>
    <hyperlink ref="G17" r:id="rId36" xr:uid="{B7A8229C-28A2-4CEA-BE66-4C5E05334BEE}"/>
    <hyperlink ref="K17" r:id="rId37" xr:uid="{386FC66C-5E8B-4AC2-BFB9-E402573D1B35}"/>
    <hyperlink ref="N17" r:id="rId38" xr:uid="{A35D691F-56D5-45AC-9775-976EB9C92F99}"/>
    <hyperlink ref="G18" r:id="rId39" xr:uid="{2306F0A1-5385-4C20-B529-BF1A782B0CAB}"/>
    <hyperlink ref="N18" r:id="rId40" xr:uid="{D387E1CF-1333-4840-BACF-52468F694356}"/>
    <hyperlink ref="G19" r:id="rId41" xr:uid="{A65FBAF8-3C7F-42E5-AA5E-8E5D4A7A1767}"/>
    <hyperlink ref="K19" r:id="rId42" xr:uid="{02F638B3-7D12-4AFA-A7F4-B60DF0E7CEC4}"/>
    <hyperlink ref="N19" r:id="rId43" xr:uid="{1737761A-B1A0-4A42-A058-40E9201172FA}"/>
    <hyperlink ref="G20" r:id="rId44" xr:uid="{6EF25FD4-5B66-4EA4-AF30-F306207A629D}"/>
    <hyperlink ref="N20" r:id="rId45" xr:uid="{6543E9EF-72B8-4CC5-A407-F6EA633EBEDC}"/>
    <hyperlink ref="G21" r:id="rId46" xr:uid="{ADF5995D-E7D2-473B-BD56-2327B850C24F}"/>
    <hyperlink ref="N9" r:id="rId47" xr:uid="{1D25201D-BCE2-42A1-AE77-7A7BEC8868C3}"/>
    <hyperlink ref="B36" r:id="rId48" xr:uid="{AD485C62-117F-443C-B28F-DBD98556E35F}"/>
    <hyperlink ref="B59" r:id="rId49" xr:uid="{8DA30656-4283-4B64-8499-05E08BEF463A}"/>
    <hyperlink ref="G22" r:id="rId50" xr:uid="{89028DB0-B0B6-4F95-A0EA-8BFE74AA3C9A}"/>
    <hyperlink ref="K22" r:id="rId51" xr:uid="{5D7EBACD-F0E2-424E-B4E9-5E1C191CABDC}"/>
    <hyperlink ref="N22" r:id="rId52" xr:uid="{BA8F9FAF-D4C6-4017-83B3-F34A4816DCFC}"/>
    <hyperlink ref="G23" r:id="rId53" xr:uid="{D1631547-330A-4947-92E7-93335F000CA7}"/>
    <hyperlink ref="K23" r:id="rId54" xr:uid="{72631F17-B301-4522-BB01-AF0355CF0433}"/>
    <hyperlink ref="N23" r:id="rId55" xr:uid="{8F1C266F-56E8-4E7F-96E5-D678B2A6E2A1}"/>
    <hyperlink ref="G24" r:id="rId56" xr:uid="{8DA25148-FF6E-4E3A-8650-76C6798DB101}"/>
    <hyperlink ref="K24" r:id="rId57" xr:uid="{2E2172AB-EF4C-48ED-8813-5CA7D914E0AF}"/>
    <hyperlink ref="K25" r:id="rId58" xr:uid="{794A027B-28EA-44B1-9DDC-5D0FF29D02CD}"/>
    <hyperlink ref="G26" r:id="rId59" xr:uid="{2D21A03A-CFFB-4D7B-94E6-D5C6CA2E1DEF}"/>
    <hyperlink ref="K26" r:id="rId60" xr:uid="{F93065E2-6170-4163-BB0F-88CECCC55E6F}"/>
    <hyperlink ref="N26" r:id="rId61" xr:uid="{B7AD5B75-F899-4B3A-A60D-E5C81B53BE47}"/>
    <hyperlink ref="G27" r:id="rId62" xr:uid="{28E45C52-3708-4629-8234-75D00A5F630B}"/>
    <hyperlink ref="K27" r:id="rId63" xr:uid="{D334BDB6-81A7-4A9A-9D95-7B146973C6A1}"/>
    <hyperlink ref="G28" r:id="rId64" xr:uid="{8F87CBF8-B20F-42AB-AD15-35BFDF4A52AB}"/>
    <hyperlink ref="K28" r:id="rId65" xr:uid="{7CE8A60F-342A-46FE-9936-658BB734F27C}"/>
    <hyperlink ref="G29" r:id="rId66" xr:uid="{4A677754-1C3C-4043-9CAC-CFE7F20011EA}"/>
    <hyperlink ref="K29" r:id="rId67" xr:uid="{278EAA69-1BBE-476D-BFD5-7146D17E4160}"/>
    <hyperlink ref="N29" r:id="rId68" xr:uid="{14A5B939-4018-46D2-B547-9BD7CDF119BB}"/>
    <hyperlink ref="G30" r:id="rId69" xr:uid="{C03E3116-2585-4740-B0FC-F527C9F67514}"/>
    <hyperlink ref="K30" r:id="rId70" xr:uid="{B1792F46-E576-4C34-9642-95A0395F62F4}"/>
    <hyperlink ref="N30" r:id="rId71" xr:uid="{D15FF703-542A-4D92-9EC5-F6C15665D205}"/>
    <hyperlink ref="G31" r:id="rId72" xr:uid="{DBCDEDC7-9C5B-4A71-BA9C-1B691E855F1C}"/>
    <hyperlink ref="K31" r:id="rId73" xr:uid="{C48E27B5-A081-4342-AFE1-53CA48550920}"/>
    <hyperlink ref="N31" r:id="rId74" xr:uid="{ADBB9A5F-EA92-4D79-B84D-982B9A82CF27}"/>
    <hyperlink ref="G32" r:id="rId75" xr:uid="{7194AC07-6F92-4DDA-A6F9-B6DB4C148E9D}"/>
    <hyperlink ref="K32" r:id="rId76" xr:uid="{4D1D8B59-14BA-45F5-8598-DFFBA3BE73F1}"/>
    <hyperlink ref="K33" r:id="rId77" xr:uid="{B8552800-D180-4036-847D-2E1E66FF13A4}"/>
    <hyperlink ref="N32" r:id="rId78" xr:uid="{9288F93C-E67E-4AB8-A1CC-0130B28883E4}"/>
    <hyperlink ref="N33" r:id="rId79" xr:uid="{A3C7B4CB-B65C-4776-BF58-124E62091D09}"/>
    <hyperlink ref="K34" r:id="rId80" xr:uid="{B1435DBF-BE0C-4101-8D95-4129CEF35906}"/>
    <hyperlink ref="G34" r:id="rId81" xr:uid="{35875329-8827-4AC7-A1D1-818FB48CAE83}"/>
    <hyperlink ref="N34" r:id="rId82" xr:uid="{6DC3C58E-A9F5-4E1B-A11E-2F2B30186A00}"/>
    <hyperlink ref="G35" r:id="rId83" xr:uid="{E5D851CD-ECB3-43F1-B27A-411232D33D22}"/>
    <hyperlink ref="K35" r:id="rId84" xr:uid="{E677996A-4EF0-4C43-A4EF-50F28347A649}"/>
    <hyperlink ref="N35" r:id="rId85" xr:uid="{37C7871B-FBFE-4EC8-8BD7-106F2E3EE257}"/>
    <hyperlink ref="G36" r:id="rId86" xr:uid="{201932BA-13D7-4A7A-8913-80C64E411554}"/>
    <hyperlink ref="K36" r:id="rId87" xr:uid="{67EE82C8-3926-49CA-8DE6-77AF62844090}"/>
    <hyperlink ref="N36" r:id="rId88" xr:uid="{E25C3A1A-F767-4FB0-AC75-0A0D77B2B932}"/>
    <hyperlink ref="G37" r:id="rId89" xr:uid="{E257C56B-A8C4-4BBB-BEA9-55445DA543BC}"/>
    <hyperlink ref="K37" r:id="rId90" xr:uid="{6A3904AD-436F-416F-B32E-5294666DBD69}"/>
    <hyperlink ref="N37" r:id="rId91" xr:uid="{0B944BEE-9955-43EB-8335-D5009C83AA65}"/>
    <hyperlink ref="G38" r:id="rId92" xr:uid="{F494E1F9-4DA6-4237-ADB6-AAD824C20CF1}"/>
    <hyperlink ref="K38" r:id="rId93" xr:uid="{7B90086F-A348-407B-A79B-285CAA4C623E}"/>
    <hyperlink ref="N38" r:id="rId94" xr:uid="{D39891E3-F187-4826-9E8B-D0D214CDCF24}"/>
    <hyperlink ref="G39" r:id="rId95" xr:uid="{64C614C1-BED7-44D7-890C-4326D2B839C8}"/>
    <hyperlink ref="K39" r:id="rId96" xr:uid="{03964A41-375D-49C9-9C78-F593ED206BC7}"/>
    <hyperlink ref="N39" r:id="rId97" xr:uid="{BA5AED65-FCE9-459B-9996-7D3E96E1BD0D}"/>
    <hyperlink ref="G40" r:id="rId98" xr:uid="{41092E7C-0626-43B0-8331-6373D9AB7124}"/>
    <hyperlink ref="K40" r:id="rId99" xr:uid="{54680B08-3948-4E03-8689-DCF3156F7A65}"/>
    <hyperlink ref="N40" r:id="rId100" xr:uid="{D2E568FA-F859-4BFA-A2D0-7EE45A87E7CF}"/>
    <hyperlink ref="G41" r:id="rId101" xr:uid="{D8A6A5B3-5A81-4313-BA13-A68C3B71599F}"/>
    <hyperlink ref="K41" r:id="rId102" xr:uid="{1186D31F-F48A-44AB-B701-C4E13222E8BB}"/>
    <hyperlink ref="N41" r:id="rId103" xr:uid="{5E10AEC1-3D0B-4130-AA58-5828DA1F5AFA}"/>
    <hyperlink ref="G42" r:id="rId104" xr:uid="{5CA1A522-0EDF-45DD-B20A-891B0DB32121}"/>
    <hyperlink ref="K42" r:id="rId105" xr:uid="{25BE1767-88DE-4060-A699-A66B7C54F5BE}"/>
    <hyperlink ref="N42" r:id="rId106" xr:uid="{BC0DCEAD-39E4-4C4A-B86B-37B22BB91D97}"/>
    <hyperlink ref="G43" r:id="rId107" xr:uid="{503B2C63-BE07-4BA1-91B7-2F99C1CF4C0E}"/>
    <hyperlink ref="K43" r:id="rId108" xr:uid="{68A34E13-8229-4E33-8979-8CD18D73C059}"/>
    <hyperlink ref="N43" r:id="rId109" xr:uid="{A7C19927-0044-4BDA-B630-8BBF92B0AC08}"/>
    <hyperlink ref="G44" r:id="rId110" xr:uid="{9A06F11A-903B-4A0C-A719-9D1911DEE7ED}"/>
    <hyperlink ref="K44" r:id="rId111" xr:uid="{A7D7B0A0-69C8-4509-B73C-6DD7E5010C7B}"/>
    <hyperlink ref="N44" r:id="rId112" xr:uid="{2F9C4ED7-C8E5-4F2F-B43C-9690ED032887}"/>
    <hyperlink ref="G45" r:id="rId113" xr:uid="{629F572A-8CAB-47E9-AEE2-D6864FD34695}"/>
    <hyperlink ref="K45" r:id="rId114" xr:uid="{214CC8E5-460B-4562-87BF-61440704134B}"/>
    <hyperlink ref="N45" r:id="rId115" xr:uid="{7E72759D-DF03-45E9-A682-70185DC0B476}"/>
    <hyperlink ref="G46" r:id="rId116" xr:uid="{71C9C979-6FF6-40AC-A0D2-BA08E65534D4}"/>
    <hyperlink ref="K46" r:id="rId117" xr:uid="{40C9A9CB-0EEA-49DD-BDEE-E9F106AC7E14}"/>
    <hyperlink ref="N46" r:id="rId118" xr:uid="{F1A22189-7072-48F6-9D3E-5F041338B410}"/>
    <hyperlink ref="G47" r:id="rId119" xr:uid="{94393D38-EA99-4526-84A3-242CD300A521}"/>
    <hyperlink ref="K47" r:id="rId120" xr:uid="{25F63E97-5DE1-476D-9FFD-9DA19EEB097D}"/>
    <hyperlink ref="N47" r:id="rId121" xr:uid="{1907BA6E-2E87-4518-9623-DFFF2B2E2C21}"/>
    <hyperlink ref="G48" r:id="rId122" xr:uid="{28803BB3-0870-4352-8EC0-ED684E5F15DA}"/>
    <hyperlink ref="K48" r:id="rId123" xr:uid="{A8842595-3F57-4E57-AF80-411CFD2F6AD1}"/>
    <hyperlink ref="N48" r:id="rId124" xr:uid="{BC8F20C7-217D-432F-854B-BA528E39B853}"/>
    <hyperlink ref="G49" r:id="rId125" xr:uid="{B36B1599-5D4E-4729-A1FC-081A040AD804}"/>
    <hyperlink ref="K49" r:id="rId126" xr:uid="{46DC7716-964F-4C2F-8C6C-D76C5AF44DE4}"/>
    <hyperlink ref="N49" r:id="rId127" xr:uid="{8A64FBCE-BACA-4D98-981F-8E8025B060A8}"/>
    <hyperlink ref="G50" r:id="rId128" xr:uid="{992AFA75-B135-41FF-B8C1-54F808CBE831}"/>
    <hyperlink ref="K50" r:id="rId129" xr:uid="{77BE5B9D-D2EC-412C-9774-F8C9C81C1890}"/>
    <hyperlink ref="N50" r:id="rId130" xr:uid="{6CA53A29-00C4-4FD0-83F3-8170EBA40E13}"/>
    <hyperlink ref="G51" r:id="rId131" xr:uid="{622F8C87-0AD0-423F-AFD6-DD20F1F34680}"/>
    <hyperlink ref="K51" r:id="rId132" xr:uid="{4B28E39B-CB73-47B2-A67A-C16D5D3A502B}"/>
    <hyperlink ref="N51" r:id="rId133" xr:uid="{B73254D9-CF5D-42F6-9144-00B5A7F334EE}"/>
    <hyperlink ref="G52" r:id="rId134" xr:uid="{3BEBC1D7-4F95-4514-AE01-550AF67CDAB9}"/>
    <hyperlink ref="K52" r:id="rId135" xr:uid="{19FF05BF-FF9F-4EF4-9507-49FB50E9BAAA}"/>
    <hyperlink ref="N52" r:id="rId136" xr:uid="{99B26A27-73C3-45BF-A025-BD871314BC5B}"/>
    <hyperlink ref="G53" r:id="rId137" xr:uid="{71700241-DE26-45D7-B643-A4A1B5AEE97E}"/>
    <hyperlink ref="K53" r:id="rId138" xr:uid="{0E4B11DC-21EC-4F85-B511-6CBCC1719BD6}"/>
    <hyperlink ref="N53" r:id="rId139" xr:uid="{A14A440E-FC6D-4486-A092-3A9332833E3B}"/>
    <hyperlink ref="G54" r:id="rId140" xr:uid="{038B8AD6-A744-4BA3-820D-930E78A4ED41}"/>
    <hyperlink ref="K54" r:id="rId141" xr:uid="{C1B8C7DA-22CF-4B22-BA20-1F9DF56DC2BF}"/>
    <hyperlink ref="N54" r:id="rId142" xr:uid="{6C328D9B-B39F-4DB9-B059-DBD6214B34BB}"/>
    <hyperlink ref="G55" r:id="rId143" xr:uid="{F54E1D4E-4169-4498-920C-7D32D2980EA1}"/>
    <hyperlink ref="K55" r:id="rId144" xr:uid="{38104699-200B-4621-91BA-10759457EE18}"/>
    <hyperlink ref="N55" r:id="rId145" xr:uid="{C4D58169-CB61-49FF-89CB-3ABAA0DE0942}"/>
    <hyperlink ref="G56" r:id="rId146" xr:uid="{F318AD79-4C42-460A-A87C-958EA26462DA}"/>
    <hyperlink ref="K56" r:id="rId147" xr:uid="{E2C04C59-5312-4FE9-9CC3-FDCDE1D8ACF7}"/>
    <hyperlink ref="N56" r:id="rId148" xr:uid="{B96B415E-2313-4BCD-848E-1613C63FF9E4}"/>
    <hyperlink ref="G57" r:id="rId149" xr:uid="{33DA0739-A0B4-44A9-AF92-4FA2BAA2D155}"/>
    <hyperlink ref="K57" r:id="rId150" xr:uid="{82287069-CE6A-4891-9D66-8C2EAAB4B9AF}"/>
    <hyperlink ref="N57" r:id="rId151" xr:uid="{981BBBF3-550B-4A40-9AB9-76004F6F4429}"/>
    <hyperlink ref="G58" r:id="rId152" xr:uid="{F2EDA93C-911D-4598-BA7E-75F5E9827F34}"/>
    <hyperlink ref="K58" r:id="rId153" xr:uid="{14531338-0F53-42D0-89DB-9FF43555A03C}"/>
    <hyperlink ref="N58" r:id="rId154" xr:uid="{6631D44C-A85B-4CBF-93BE-307BF2755CE3}"/>
    <hyperlink ref="G59" r:id="rId155" xr:uid="{632A7D3F-B49C-43BF-9F67-445F0F04BDD6}"/>
    <hyperlink ref="K59" r:id="rId156" xr:uid="{A94921ED-53DB-41E1-8DFA-B77C3B8A3772}"/>
    <hyperlink ref="N59" r:id="rId157" xr:uid="{3AF078FB-8F05-45E6-83D9-86AA19753871}"/>
    <hyperlink ref="G60" r:id="rId158" xr:uid="{FCB1410B-BB34-414E-B6B8-743E176FBBFD}"/>
    <hyperlink ref="K60" r:id="rId159" xr:uid="{FCA9203C-23A4-445B-A0CB-F0C187D1C0BC}"/>
    <hyperlink ref="N60" r:id="rId160" xr:uid="{359B8344-A286-460C-9900-B7DEB93E093A}"/>
    <hyperlink ref="G61" r:id="rId161" xr:uid="{5FF71C1B-1BCC-4FEB-9A7E-58033F3D7BC0}"/>
    <hyperlink ref="G62" r:id="rId162" xr:uid="{985B8382-80D9-4248-91E2-78AAC8F3A137}"/>
    <hyperlink ref="G63" r:id="rId163" xr:uid="{04A9BA58-B1CF-4821-9506-A5058EE48C99}"/>
    <hyperlink ref="K61" r:id="rId164" xr:uid="{791F6ADC-3F8F-4E4B-95B8-5A5B93483069}"/>
    <hyperlink ref="N61" r:id="rId165" xr:uid="{77C24B54-C3E8-4B93-BDB5-A08092870BEC}"/>
    <hyperlink ref="K62" r:id="rId166" xr:uid="{401986CB-E439-4FC2-A005-C0591906A6BA}"/>
    <hyperlink ref="N62" r:id="rId167" xr:uid="{D882F7CF-26B8-4921-B538-A3D030A2F958}"/>
    <hyperlink ref="K63" r:id="rId168" xr:uid="{FFE4B837-515B-454B-83F6-D5F6A46896BA}"/>
    <hyperlink ref="N63" r:id="rId169" xr:uid="{30EDB450-8DDC-470E-826D-F47F188120D5}"/>
    <hyperlink ref="G64" r:id="rId170" xr:uid="{6217C8C9-9238-41E3-892B-EB5EFC30BACB}"/>
    <hyperlink ref="K64" r:id="rId171" xr:uid="{8879FDA7-7301-4C3A-84A4-4AAC6A7C370F}"/>
    <hyperlink ref="N64" r:id="rId172" xr:uid="{6F94A9EB-C1E1-408E-873F-74F8344B41A5}"/>
    <hyperlink ref="G65" r:id="rId173" xr:uid="{01AC27C8-3D88-456F-987D-ED37A90C407F}"/>
    <hyperlink ref="K65" r:id="rId174" xr:uid="{2EFE4CDC-8721-4E9D-990F-8D64AC5A7C5E}"/>
    <hyperlink ref="N65" r:id="rId175" xr:uid="{6BA10557-A9CE-4030-9B9B-326DC7967879}"/>
    <hyperlink ref="G66" r:id="rId176" xr:uid="{BDA57884-01C7-4866-8CFF-08C18E56B6F8}"/>
    <hyperlink ref="K66" r:id="rId177" xr:uid="{FFCB4102-2127-400B-BCE9-A4A0EB4D11AE}"/>
    <hyperlink ref="N66" r:id="rId178" xr:uid="{1174FFA4-617D-4806-BD28-359A3E3D4B4A}"/>
    <hyperlink ref="G67" r:id="rId179" xr:uid="{783071E8-B62D-4B14-9BB7-822BCA623AB4}"/>
    <hyperlink ref="K67" r:id="rId180" xr:uid="{60AB6692-443D-4A12-9410-194560E017B9}"/>
    <hyperlink ref="N67" r:id="rId181" xr:uid="{0B7A2959-F3EE-4892-83E4-29E2D2BF5B9C}"/>
    <hyperlink ref="G68" r:id="rId182" xr:uid="{54321156-7C19-47CD-9A9A-3F95F440555C}"/>
    <hyperlink ref="K68" r:id="rId183" xr:uid="{8744E269-E161-401D-80CD-0289BFD39DE3}"/>
    <hyperlink ref="N68" r:id="rId184" xr:uid="{CA063FAA-3D2A-4363-8224-93E3B02ED791}"/>
    <hyperlink ref="G69" r:id="rId185" xr:uid="{35DE36CB-CFD2-45FE-84D4-1D6EB7912740}"/>
    <hyperlink ref="K69" r:id="rId186" xr:uid="{779D5FF3-893E-4B41-B41C-2D6BFB3E769A}"/>
    <hyperlink ref="N69" r:id="rId187" xr:uid="{A57443C3-174F-4908-B51C-1DC39C4DD6D3}"/>
    <hyperlink ref="G70" r:id="rId188" xr:uid="{C6F95166-BC31-489B-B0EE-EA934664B6A7}"/>
    <hyperlink ref="K70" r:id="rId189" xr:uid="{5E58C06F-095E-41FE-9878-74086249ECAC}"/>
    <hyperlink ref="N70" r:id="rId190" xr:uid="{C160C507-8CC3-480A-8847-03FFE7655AF1}"/>
    <hyperlink ref="K7" r:id="rId191" xr:uid="{2D8D1701-0F3A-4A30-BADE-20369B8436DA}"/>
    <hyperlink ref="K3" r:id="rId192" xr:uid="{151CB35A-F426-4C20-8870-7B47BA18021F}"/>
    <hyperlink ref="K13" r:id="rId193" xr:uid="{68B7CDB5-E2D9-41F9-9F33-EEF022DCA2CF}"/>
    <hyperlink ref="G71" r:id="rId194" xr:uid="{218D1FCE-29EB-4338-AEE2-C04417E13999}"/>
    <hyperlink ref="K71" r:id="rId195" xr:uid="{73B5A7B0-4273-4EE9-AD2D-FD5B6ECCDDD6}"/>
    <hyperlink ref="N71" r:id="rId196" display="mailto:info@googlesciencefair.com" xr:uid="{D9F896F4-A0E6-4753-B198-943653A2C5E1}"/>
    <hyperlink ref="K72" r:id="rId197" xr:uid="{B83ABF68-BA25-4990-85D9-93111B32938A}"/>
    <hyperlink ref="G73" r:id="rId198" xr:uid="{A003E4D9-63B1-4810-87EE-BA8D4CA6987C}"/>
    <hyperlink ref="K73" r:id="rId199" xr:uid="{526F5C7C-119F-4F59-B360-95950E61E111}"/>
    <hyperlink ref="K74" r:id="rId200" xr:uid="{308130FF-571D-438B-874A-44B17F939121}"/>
    <hyperlink ref="G75" r:id="rId201" xr:uid="{0933A0CA-73D7-4072-A2F1-4C886C598CEF}"/>
    <hyperlink ref="K75" r:id="rId202" xr:uid="{4FA05E1C-E583-4B5B-B3BC-18CDDDD1B9B3}"/>
    <hyperlink ref="G76" r:id="rId203" xr:uid="{4F40275A-A6B9-45F9-A028-BA78B09D9B88}"/>
    <hyperlink ref="K76" r:id="rId204" xr:uid="{E7D2381E-09CF-465B-B87F-7FC4BB6AB6AB}"/>
    <hyperlink ref="G77" r:id="rId205" xr:uid="{E771667A-32DA-4C96-A44E-17483BDFB564}"/>
    <hyperlink ref="K77" r:id="rId206" xr:uid="{EB199780-F073-4E79-970C-042DE3654089}"/>
    <hyperlink ref="N77" r:id="rId207" xr:uid="{2B340A0B-2443-4357-9834-EE02C2171613}"/>
    <hyperlink ref="G78" r:id="rId208" xr:uid="{A61405D2-C2CC-45B4-A09D-29E71E1B2C06}"/>
    <hyperlink ref="K78" r:id="rId209" xr:uid="{27640C77-580A-4BAC-B00F-26728FED88AA}"/>
    <hyperlink ref="L78" r:id="rId210" display="https://careerguidance.unilearn.org.in/scholarship/hindi-scholarship-hs/" xr:uid="{3EBA71CB-6FBA-4667-87A0-E05117C032B2}"/>
    <hyperlink ref="N78" r:id="rId211" xr:uid="{AFF98C71-4D96-4288-9282-E5CA240FFE39}"/>
    <hyperlink ref="G79" r:id="rId212" xr:uid="{EFCCBDF7-8F4E-4E7B-BCB3-B828EC9F3A01}"/>
    <hyperlink ref="K79" r:id="rId213" xr:uid="{ABEBB883-6038-4A93-805E-C83CE7DF8B0A}"/>
    <hyperlink ref="L79" r:id="rId214" xr:uid="{D269FC45-7C32-4DE6-8013-812333986F7F}"/>
    <hyperlink ref="N79" r:id="rId215" xr:uid="{071BE2B3-C370-4A4A-91C5-061C008FDF49}"/>
    <hyperlink ref="G80" r:id="rId216" xr:uid="{E318532E-231E-4861-9950-40B531DED205}"/>
    <hyperlink ref="K80" r:id="rId217" xr:uid="{9DD038D5-EFB3-4A4B-B024-827486F99AFD}"/>
    <hyperlink ref="G81" r:id="rId218" xr:uid="{F97DABB4-58BE-4411-87B4-A683E43D3889}"/>
    <hyperlink ref="K81" r:id="rId219" xr:uid="{26AAC152-2AB7-4EEB-BCA5-6E341F08D3F5}"/>
    <hyperlink ref="N81" r:id="rId220" display="http://office.ipciisc.ac.in/" xr:uid="{1DF53BAF-90C6-4B80-86C2-259F32DE5E96}"/>
    <hyperlink ref="G82" r:id="rId221" xr:uid="{41658B93-5356-4A38-AEB3-20354CDB133D}"/>
    <hyperlink ref="K82" r:id="rId222" xr:uid="{19B50472-C75F-4EF8-BFEE-EC546511DDA9}"/>
    <hyperlink ref="N82" r:id="rId223" display="http://office.ipciisc.ac.in/" xr:uid="{2859D3B3-764D-4282-A835-970ED134C23B}"/>
    <hyperlink ref="G83" r:id="rId224" xr:uid="{DD169B6B-F0FF-4663-8D9E-50C38FED2957}"/>
    <hyperlink ref="K83" r:id="rId225" xr:uid="{576D8955-3026-44E3-9B9B-3286521F29A5}"/>
    <hyperlink ref="L83" r:id="rId226" xr:uid="{7D1969F1-E279-483A-A771-7E7E40B9BFB7}"/>
    <hyperlink ref="N83" r:id="rId227" xr:uid="{CEE48FED-3FD8-4103-9B76-4AAE04315EE6}"/>
    <hyperlink ref="G84" r:id="rId228" xr:uid="{E9718FF4-49B7-4E72-9269-D11C1F56A7B3}"/>
    <hyperlink ref="K84" r:id="rId229" xr:uid="{1D76B473-9A1A-478C-845D-0673CF3DAE19}"/>
    <hyperlink ref="G86" r:id="rId230" xr:uid="{86B277B4-C09A-4E28-BEBD-F16C3DA890F3}"/>
    <hyperlink ref="K86" r:id="rId231" xr:uid="{93B6D75B-FCB7-417D-A769-0AB7F7373A5D}"/>
    <hyperlink ref="L86" r:id="rId232" xr:uid="{D1952077-980C-4BCF-AF25-267E5D7A2E44}"/>
    <hyperlink ref="N86" r:id="rId233" xr:uid="{A4A92432-9D38-48BD-A52F-BC7BC045EB97}"/>
    <hyperlink ref="G87" r:id="rId234" xr:uid="{86D6C9DD-5A9E-4CAE-9E1A-6CD8195823FB}"/>
    <hyperlink ref="K87" r:id="rId235" xr:uid="{32702835-AE45-4685-BF53-DDD6F625C69A}"/>
    <hyperlink ref="K88" r:id="rId236" xr:uid="{8065F0A9-A13F-42DD-98A0-6381B95EA73A}"/>
    <hyperlink ref="K89" r:id="rId237" xr:uid="{FC4016D7-51B1-4D49-B365-22C9A51615AC}"/>
    <hyperlink ref="G90" r:id="rId238" xr:uid="{88CE8401-FED2-4D67-B393-1B76C5D6B7C7}"/>
    <hyperlink ref="K90" r:id="rId239" xr:uid="{573BE549-E856-4D84-ACA9-6E76C358CEE6}"/>
    <hyperlink ref="N90" r:id="rId240" xr:uid="{EFB2FC78-3B25-4BD1-9943-104C3AB6BB14}"/>
    <hyperlink ref="G91" r:id="rId241" display="https://scholarships.gov.in/" xr:uid="{5CEB2BA8-C7AF-492E-B8E1-A34BE8167789}"/>
    <hyperlink ref="K91" r:id="rId242" xr:uid="{EB248AD0-2796-433C-ADE3-18EB0BB4D9E2}"/>
    <hyperlink ref="N91" r:id="rId243" display="mailto:IndiaCustomerCare@britishcouncil.org" xr:uid="{66D26498-A639-4838-A099-B9DB6DB7E40A}"/>
    <hyperlink ref="K92" r:id="rId244" xr:uid="{ABE161A3-2D59-4C7F-B2A5-888EAF9D3804}"/>
    <hyperlink ref="K93" r:id="rId245" xr:uid="{83595092-E77B-450E-B8CF-43AC6BE5441E}"/>
    <hyperlink ref="K94" r:id="rId246" xr:uid="{64B387E2-0D62-4AAF-80B4-34A6E1F6552C}"/>
    <hyperlink ref="G95" r:id="rId247" xr:uid="{EAD11FB6-06DF-45D4-9DE2-664757FD6AAA}"/>
    <hyperlink ref="K95" r:id="rId248" xr:uid="{D84253FE-A544-4204-9196-EB71CE4FCBA8}"/>
    <hyperlink ref="N95" r:id="rId249" display="http://indianhighcommission.com.my/" xr:uid="{453DA14F-1A25-4F17-9F14-71F076D946F5}"/>
    <hyperlink ref="K96" r:id="rId250" xr:uid="{CD2C6228-1A28-4534-BA4D-6B5926CFAD9F}"/>
    <hyperlink ref="L96" r:id="rId251" xr:uid="{997C1D9D-DB94-4D74-8EE6-DADE89CD4B07}"/>
    <hyperlink ref="N96" r:id="rId252" xr:uid="{0E1177E0-4015-4883-AC6A-6070CB49518A}"/>
    <hyperlink ref="G97" r:id="rId253" xr:uid="{0A798184-BE47-42F0-A698-79EBF3B76058}"/>
    <hyperlink ref="K97" r:id="rId254" xr:uid="{17BC714F-28DA-4553-9749-A62864C3666A}"/>
    <hyperlink ref="N97" r:id="rId255" xr:uid="{293F0C4E-8498-41F8-BD18-FCDCB6FCABE2}"/>
    <hyperlink ref="G98" r:id="rId256" xr:uid="{E384A3D1-9EB3-45F4-B826-A3277CD565F3}"/>
    <hyperlink ref="K98" r:id="rId257" xr:uid="{DECC946E-FEF8-439A-98B2-CFADD3AD5317}"/>
    <hyperlink ref="K99" r:id="rId258" xr:uid="{8430E9F3-7632-4499-8BD3-93E48ECD41EB}"/>
    <hyperlink ref="K100" r:id="rId259" xr:uid="{6463D0FB-0AD2-4BFE-AF88-B212B32AFEB2}"/>
    <hyperlink ref="G101" r:id="rId260" xr:uid="{4DEB337B-7A48-44F1-B24A-EA637F73D803}"/>
    <hyperlink ref="K101" r:id="rId261" xr:uid="{33C13967-A601-4966-BB9E-B1337BD8FEDB}"/>
    <hyperlink ref="K102" r:id="rId262" xr:uid="{66DC0A0F-3640-4356-9384-24767B80B9FF}"/>
    <hyperlink ref="K103" r:id="rId263" xr:uid="{781FC933-7D40-4DEC-9120-EEA3382CA8A6}"/>
    <hyperlink ref="K104" r:id="rId264" xr:uid="{B634B259-A850-4BDD-8483-C68C65DA1AFF}"/>
    <hyperlink ref="K105" r:id="rId265" xr:uid="{BE2BFBCB-9E2B-4A0E-BC0E-634854705910}"/>
    <hyperlink ref="K106" r:id="rId266" xr:uid="{2755425A-E5F3-4628-9F96-3E1AEBE934D2}"/>
    <hyperlink ref="K107" r:id="rId267" xr:uid="{F26B5509-6231-4891-A862-4DB9FACF1B7F}"/>
    <hyperlink ref="K108" r:id="rId268" xr:uid="{346297F9-F189-4527-B8DA-4763ADCBB981}"/>
    <hyperlink ref="K109" r:id="rId269" xr:uid="{09958803-04FC-439B-A8C8-E0BB7B456992}"/>
    <hyperlink ref="G110" r:id="rId270" display="https://kalakritifellowship.org/" xr:uid="{E27C5E2C-8C30-4265-B0CB-AA8B07E82A9A}"/>
    <hyperlink ref="K110" r:id="rId271" xr:uid="{E0949434-8F62-43B5-9EA6-26933335D991}"/>
    <hyperlink ref="G111" r:id="rId272" display="https://karunyavarsham.org/" xr:uid="{687357A2-2C30-4CAB-94F0-B4037AAFAD38}"/>
    <hyperlink ref="K111" r:id="rId273" xr:uid="{2CDD037C-B0FD-46E9-93A6-DBA48BB764DB}"/>
    <hyperlink ref="G112" r:id="rId274" display="https://keepindiasmilingfoundation.org/" xr:uid="{D4E4A0A5-C475-4322-A01F-87E0688D215C}"/>
    <hyperlink ref="K112" r:id="rId275" xr:uid="{6094A65C-A03F-4F99-8C7A-844A067BBA56}"/>
    <hyperlink ref="G113" r:id="rId276" display="https://khoranaprogram.org/" xr:uid="{54303315-D9AC-4FED-BD78-148F299AD4C3}"/>
    <hyperlink ref="K113" r:id="rId277" xr:uid="{C4165151-A6F7-49CF-AB6B-60246DF887F4}"/>
    <hyperlink ref="G114" r:id="rId278" display="http://kvpy.iisc.ac.in/" xr:uid="{67F59CC3-D737-4C12-8B3C-590BD2A3E951}"/>
    <hyperlink ref="K114" r:id="rId279" xr:uid="{0766EAA2-DBF8-4837-8AF5-7D5C4F80BD53}"/>
    <hyperlink ref="G115" r:id="rId280" display="https://www.lntbuildindia.com/" xr:uid="{9C011965-5D93-4E25-8C97-F237540A7EE3}"/>
    <hyperlink ref="K115" r:id="rId281" xr:uid="{B90A2DFB-EBB7-45AA-A737-02A12D6C21C4}"/>
    <hyperlink ref="B116" r:id="rId282" display="https://www.buddy4study.com/scholarship/loreal-india-for-young-women-in-science-scholarships" xr:uid="{56C8749A-B765-4D47-A1FC-02229288B0C3}"/>
    <hyperlink ref="G116" r:id="rId283" display="https://www.loreal.in/" xr:uid="{C13BEF61-A6CC-4ACF-84E2-4BAFF76E180F}"/>
    <hyperlink ref="K116" r:id="rId284" xr:uid="{9E650EBE-1F21-411C-ACF2-4F136B3B85DD}"/>
    <hyperlink ref="G117" r:id="rId285" display="https://www.lnthydrocarbon.com/" xr:uid="{76FAD8D5-D589-4A60-B35C-CA8E6CDEFCE2}"/>
    <hyperlink ref="K117" r:id="rId286" xr:uid="{FE6C4ABE-D192-4A2B-A20C-08004F86167B}"/>
    <hyperlink ref="G118" r:id="rId287" display="https://southasiainstitute.org/" xr:uid="{AD91B2ED-4BC9-4065-8850-10DB72C09E0F}"/>
    <hyperlink ref="K118" r:id="rId288" xr:uid="{D0F35554-4473-42CC-83A6-343D58BED19A}"/>
    <hyperlink ref="G119" r:id="rId289" display="http://www.lalitkala.gov.in/" xr:uid="{565A7D78-7887-44E1-89A0-0A2D5B68C31C}"/>
    <hyperlink ref="K119" r:id="rId290" xr:uid="{058031B8-E867-4F52-8F93-37E1343554D6}"/>
    <hyperlink ref="G120" r:id="rId291" display="https://www.lancaster.ac.uk/" xr:uid="{6780BF24-E80A-4F64-B47E-4C2C3C2D5D64}"/>
    <hyperlink ref="K120" r:id="rId292" xr:uid="{EB6AEBD0-A039-4CD6-89DD-F0CAFE77823B}"/>
    <hyperlink ref="G121" r:id="rId293" display="http://www.karnataka.gov.in/" xr:uid="{59537453-7CE9-4466-8A31-2CE6EFDD3A8A}"/>
    <hyperlink ref="K121" r:id="rId294" xr:uid="{833FA6C4-4DB9-462C-AE0E-BC8EC580BCB2}"/>
    <hyperlink ref="G122" r:id="rId295" display="https://www.llmindia.com/" xr:uid="{AC7F9126-5726-4CA0-9C93-DB8030A64E7F}"/>
    <hyperlink ref="K122" r:id="rId296" xr:uid="{30FEB33F-7DD9-4447-A954-F1474320A6B0}"/>
    <hyperlink ref="G123" r:id="rId297" display="https://cyberdost.gov.in/" xr:uid="{1F3EA966-1921-4F83-B923-A6F6EE82C29A}"/>
    <hyperlink ref="G124" r:id="rId298" display="https://m-scholarship.org/" xr:uid="{E82EE799-3794-4017-9872-4DF7D23F31FB}"/>
    <hyperlink ref="K124" r:id="rId299" xr:uid="{9751429A-E7F2-4CB3-9376-F0BFEC8FFBAE}"/>
    <hyperlink ref="G125" r:id="rId300" display="https://www.universitiesinindia.com/" xr:uid="{0AD97276-479E-49B4-BA91-8AFE06B90B13}"/>
    <hyperlink ref="K125" r:id="rId301" xr:uid="{D8CE272E-82C1-4C2F-8115-2A6765316560}"/>
    <hyperlink ref="G126" r:id="rId302" xr:uid="{7C1490E2-F9BC-4268-9178-2AC7EAF8091F}"/>
    <hyperlink ref="K126" r:id="rId303" xr:uid="{F960782D-32BF-4AF7-812E-3FB58D7067CB}"/>
    <hyperlink ref="G127" r:id="rId304" xr:uid="{5EF31377-60D3-467E-B655-7BAD367A5AD1}"/>
    <hyperlink ref="K127" r:id="rId305" xr:uid="{4F1C1902-B123-49FC-97D0-8BB3421ACBCC}"/>
    <hyperlink ref="G128" r:id="rId306" xr:uid="{86831DA0-BBCA-4C99-BC1C-8168CF80999C}"/>
    <hyperlink ref="K128" r:id="rId307" xr:uid="{9B265F77-AB72-47D3-AFFB-EFCB10E4A22A}"/>
    <hyperlink ref="G129" r:id="rId308" display="http://meghalayaborderareas.org/" xr:uid="{6A4FB159-098D-4C6A-A9D1-140978FD41D0}"/>
    <hyperlink ref="K129" r:id="rId309" xr:uid="{8994B364-90EA-4169-AC4A-2032B7CCF9E3}"/>
    <hyperlink ref="G130" r:id="rId310" display="https://www.mercedes-benz.com/" xr:uid="{D03CEE66-1DA3-4780-8426-CCDAA9593D3C}"/>
    <hyperlink ref="G131" r:id="rId311" display="http://program.com/" xr:uid="{3983A776-4FE6-4CBC-936A-CEFB86C190DF}"/>
    <hyperlink ref="K131" r:id="rId312" xr:uid="{71D00D7D-96CA-44BF-B9E3-8BAF8EFB1C51}"/>
    <hyperlink ref="G132" r:id="rId313" xr:uid="{6AF2C823-8DE2-4E0C-8242-F044FF070BA6}"/>
    <hyperlink ref="K132" r:id="rId314" xr:uid="{1C0B9852-518D-43A4-8156-44EBE6D96D63}"/>
    <hyperlink ref="G133" r:id="rId315" xr:uid="{2EB649A7-C8F8-4C0F-A046-21EF6B67E03E}"/>
    <hyperlink ref="K133" r:id="rId316" xr:uid="{0CB37EEC-476C-4263-B68B-601E36A944B6}"/>
    <hyperlink ref="G134" r:id="rId317" xr:uid="{A150ED1D-87F5-4D4A-BC8C-ADA387779C79}"/>
    <hyperlink ref="K134" r:id="rId318" xr:uid="{4749E3DF-97D2-435D-A2C5-E649E7194E37}"/>
    <hyperlink ref="G135" r:id="rId319" xr:uid="{8EC22074-58DC-4224-B40B-BAEF25645468}"/>
    <hyperlink ref="K135" r:id="rId320" xr:uid="{4470A05D-9D3A-4CF7-B6A7-6E172B1264B1}"/>
    <hyperlink ref="G136" r:id="rId321" xr:uid="{59F5EACC-DC99-416C-96CB-CB59388B035B}"/>
    <hyperlink ref="K136" r:id="rId322" xr:uid="{F57069DB-9506-4671-BE65-BC546786415A}"/>
    <hyperlink ref="G137" r:id="rId323" xr:uid="{27DBB2D4-03D0-4244-B287-77EFED72A4E8}"/>
    <hyperlink ref="K137" r:id="rId324" xr:uid="{62E0119C-F2B4-4CE2-A463-C7C2A69DBD69}"/>
    <hyperlink ref="G138" r:id="rId325" xr:uid="{E89E104A-A57B-471E-8390-EBF1C5AF84C6}"/>
    <hyperlink ref="K138" r:id="rId326" xr:uid="{A61505B3-A981-465E-96A5-9F2BC7181675}"/>
    <hyperlink ref="G139" r:id="rId327" display="http://www.dcescholarship.kerala.gov.in/" xr:uid="{A9F36216-64CB-4759-AD80-6EB6C3A18A33}"/>
    <hyperlink ref="K139" r:id="rId328" xr:uid="{9ACD88F3-1D3F-4FE6-870D-E82EFD83B8C5}"/>
    <hyperlink ref="G140" r:id="rId329" display="http://www.dcescholarship.kerala.gov.in/" xr:uid="{6C2A523B-7239-45F9-8D9E-05929DB70AA0}"/>
    <hyperlink ref="K140" r:id="rId330" xr:uid="{2EBA5EED-BAF1-4864-8F98-15F9286FC8B5}"/>
    <hyperlink ref="G141" r:id="rId331" xr:uid="{DCE10A90-97B4-4FCB-A63E-12747B1F8CFC}"/>
    <hyperlink ref="K141" r:id="rId332" xr:uid="{6514FD91-CD53-4893-BF77-B383C8D201ED}"/>
    <hyperlink ref="G142" r:id="rId333" xr:uid="{D3EB4D05-CF23-476A-A837-1364F8E1BCA4}"/>
    <hyperlink ref="K142" r:id="rId334" xr:uid="{25864EF1-B1F5-41BF-B216-EA55D134705E}"/>
    <hyperlink ref="G143" r:id="rId335" xr:uid="{5A4DBE7B-5223-44A6-A1B8-135942CFA977}"/>
    <hyperlink ref="G144" r:id="rId336" xr:uid="{70AEAB5B-C9C0-4B87-A3EC-5263F26EB57A}"/>
    <hyperlink ref="K144" r:id="rId337" xr:uid="{982A607A-56EA-42B7-91FC-2C809846CAE3}"/>
    <hyperlink ref="B145" r:id="rId338" display="https://www.buddy4study.com/scholarship/national-fellowship-and-scholarship-for-higher-education-of-st-students" xr:uid="{A686EBE6-706C-4382-9D68-993A337AD643}"/>
    <hyperlink ref="K145" r:id="rId339" xr:uid="{E4460C1B-8B04-4D6E-B692-510A692DA268}"/>
    <hyperlink ref="G146" r:id="rId340" xr:uid="{F5682ECC-1E8C-4030-A686-4D6A488E41F0}"/>
    <hyperlink ref="K146" r:id="rId341" xr:uid="{CE27D66F-2ED1-4E58-96FE-02CA5EE8D7A1}"/>
    <hyperlink ref="B147" r:id="rId342" display="https://www.buddy4study.com/article/nmms" xr:uid="{A8C9B00A-B5E9-4B9E-895E-EDF4A6E3483D}"/>
    <hyperlink ref="G147" r:id="rId343" xr:uid="{92D3F9AB-5047-4871-B406-84B131E05093}"/>
    <hyperlink ref="K147" r:id="rId344" xr:uid="{BAB2882B-7812-4777-9180-69B1AAD8E389}"/>
    <hyperlink ref="G148" r:id="rId345" display="http://www.nationalscholarshipexam.com/" xr:uid="{76A56D73-C739-4293-96C7-2B86887B318B}"/>
    <hyperlink ref="K148" r:id="rId346" xr:uid="{C183BF61-6E4D-47F4-975D-2923493E5E1D}"/>
    <hyperlink ref="G149" r:id="rId347" xr:uid="{24992E07-95F7-4582-AD4A-A4D65005CB56}"/>
    <hyperlink ref="K149" r:id="rId348" xr:uid="{FF970BED-2ED3-47BE-B0F7-93B115E6578E}"/>
    <hyperlink ref="G150" r:id="rId349" display="http://space.nss.org/" xr:uid="{03385CF2-1203-41C6-A3BD-C730F71A2BBE}"/>
    <hyperlink ref="K150" r:id="rId350" xr:uid="{A1B30023-7ECB-409C-A5AC-0A8F87C1B19E}"/>
    <hyperlink ref="G151" r:id="rId351" xr:uid="{64040BAD-2479-497F-918B-F30F1818A0C6}"/>
    <hyperlink ref="K151" r:id="rId352" xr:uid="{D70BB1F0-388E-440F-B48A-F9F5FAEA0EE1}"/>
    <hyperlink ref="G152" r:id="rId353" xr:uid="{CFA982FD-E845-41FB-AE0C-D9F28EA26225}"/>
    <hyperlink ref="K152" r:id="rId354" xr:uid="{D54C5E50-9EC4-4459-B20E-6F44ACECE28D}"/>
    <hyperlink ref="G153" r:id="rId355" xr:uid="{CB664C96-840F-4351-B6FA-73E658744833}"/>
    <hyperlink ref="K153" r:id="rId356" xr:uid="{43DCD5E7-4348-4A6C-A69C-67AB8E37DC0E}"/>
    <hyperlink ref="G154" r:id="rId357" xr:uid="{64D02154-EB3B-494B-9295-7BB9335C828C}"/>
    <hyperlink ref="K154" r:id="rId358" xr:uid="{08B233C3-89B9-47D1-89CE-61FEF4531FA4}"/>
    <hyperlink ref="G155" r:id="rId359" xr:uid="{841FC80B-2C1D-407A-BD16-E52F01F776AC}"/>
    <hyperlink ref="K155" r:id="rId360" xr:uid="{A369DE71-162E-412E-947B-3DE978F389BB}"/>
    <hyperlink ref="G156" r:id="rId361" xr:uid="{6E4984A1-946B-40FB-B567-FAF30B6739A2}"/>
    <hyperlink ref="K156" r:id="rId362" xr:uid="{6DCD71B7-E522-49B8-BDB1-6CEA5A121FE4}"/>
    <hyperlink ref="G157" r:id="rId363" xr:uid="{E1EC1437-DCDB-4957-94DD-C821F58E3D94}"/>
    <hyperlink ref="K157" r:id="rId364" xr:uid="{85650152-51A7-4159-BB15-114F24DE8DF2}"/>
    <hyperlink ref="G158" r:id="rId365" xr:uid="{6084DB05-CB9B-4CF2-B4DB-9EBB90252061}"/>
    <hyperlink ref="K158" r:id="rId366" xr:uid="{108C3E9E-DC28-4585-8AEF-168710470967}"/>
    <hyperlink ref="G159" r:id="rId367" xr:uid="{6417D1B5-7608-40D3-A7A3-E4F82E307FAF}"/>
    <hyperlink ref="K159" r:id="rId368" xr:uid="{54539ED4-AB80-4A47-BB11-497145227EAC}"/>
    <hyperlink ref="G160" r:id="rId369" xr:uid="{24A01CE4-DBC8-4717-B8E3-14BF8E011EDA}"/>
    <hyperlink ref="K160" r:id="rId370" xr:uid="{6C9F368E-B78C-4E7F-9FF1-931F5C7C8E92}"/>
    <hyperlink ref="G161" r:id="rId371" xr:uid="{61EEC1C3-3CA5-4A7E-8F03-1012C3D8A9E2}"/>
    <hyperlink ref="K161" r:id="rId372" xr:uid="{4378D48D-E19F-4E8D-97E4-AF4754F4E87A}"/>
    <hyperlink ref="G162" r:id="rId373" xr:uid="{A6E80067-DC04-45C3-9CEC-FEC5CF7FEB4F}"/>
    <hyperlink ref="K162" r:id="rId374" xr:uid="{5C0E35EE-B3B8-4378-B98B-B193FFE9CF27}"/>
    <hyperlink ref="G163" r:id="rId375" xr:uid="{41501481-27A4-49CB-8988-619F815FD93C}"/>
    <hyperlink ref="K163" r:id="rId376" xr:uid="{BEF562BC-F588-4F0A-B283-2B32943599AE}"/>
    <hyperlink ref="G164" r:id="rId377" xr:uid="{B5822EDD-06D9-4DFB-84AB-59705B1815F7}"/>
    <hyperlink ref="K164" r:id="rId378" xr:uid="{9D71B69B-B91D-4930-A561-5E8EB087590E}"/>
    <hyperlink ref="G165" r:id="rId379" display="https://www.oil-india.com/" xr:uid="{7799085D-97A2-4A18-B9B4-8C32E9C573CD}"/>
    <hyperlink ref="K165" r:id="rId380" xr:uid="{AF485072-F3FA-491C-8CDB-781066A857A0}"/>
    <hyperlink ref="G166" r:id="rId381" xr:uid="{6BB1B4DA-70D8-4572-9139-99ED40A7ACAA}"/>
    <hyperlink ref="K166" r:id="rId382" xr:uid="{06BB336D-A126-4309-9F23-95F795C824A3}"/>
    <hyperlink ref="G167" r:id="rId383" display="https://www.ongcscholar.org/" xr:uid="{C9DBD6C9-FB16-4CF0-B841-A62BAEA6B853}"/>
    <hyperlink ref="K167" r:id="rId384" xr:uid="{9650E825-DC43-41BD-A181-BBA835D9288B}"/>
    <hyperlink ref="G168" r:id="rId385" xr:uid="{32691B3E-133D-4963-A757-4F89866C513E}"/>
    <hyperlink ref="K168" r:id="rId386" xr:uid="{8E41EF92-46D9-4D34-A6EA-4B9178E2C5B8}"/>
    <hyperlink ref="G169" r:id="rId387" display="https://mahadbtmahait.gov.in/" xr:uid="{0FD20191-A0A7-433F-BDAC-058F544E6C50}"/>
    <hyperlink ref="K169" r:id="rId388" xr:uid="{A9A5B015-4B86-4CFD-A34A-0F2B773A8C8B}"/>
    <hyperlink ref="G170" r:id="rId389" xr:uid="{24DFB9A4-C4F3-4E76-B099-C06B220A8E55}"/>
    <hyperlink ref="K170" r:id="rId390" xr:uid="{31C00D01-0C3A-4E1F-B8A8-03B6C7B2A88F}"/>
    <hyperlink ref="G171" r:id="rId391" xr:uid="{D59DFE49-81D1-4AEA-964B-F0190C0C8D65}"/>
    <hyperlink ref="K171" r:id="rId392" xr:uid="{E09B1734-9B78-408E-93EE-8863E41F3DE5}"/>
    <hyperlink ref="G172" r:id="rId393" xr:uid="{1D7B05FF-415B-41E6-99D9-6B1E40AF0D08}"/>
    <hyperlink ref="K172" r:id="rId394" xr:uid="{085D9F97-FF6E-473A-91FC-806C8DE5C83E}"/>
    <hyperlink ref="G173" r:id="rId395" xr:uid="{23A15EC7-4934-42DB-A29D-B73282B7AD03}"/>
    <hyperlink ref="K173" r:id="rId396" xr:uid="{13CC6E58-4A0C-4726-A6BB-7D7774C623D7}"/>
    <hyperlink ref="G174" r:id="rId397" xr:uid="{DF4779E7-B6D5-41E5-950D-BC1C9A455806}"/>
    <hyperlink ref="K174" r:id="rId398" xr:uid="{AB69B5E4-4770-4E93-915B-836955EBC3EA}"/>
    <hyperlink ref="G175" r:id="rId399" xr:uid="{7A77769C-E1E3-49B0-A7C4-B2EA31812A09}"/>
    <hyperlink ref="K175" r:id="rId400" xr:uid="{6001EB85-E91E-439A-8E0D-B4B3573A8D21}"/>
    <hyperlink ref="G176" r:id="rId401" xr:uid="{B8E45661-FE7B-4D3B-99D0-15A2E46DE515}"/>
    <hyperlink ref="K176" r:id="rId402" xr:uid="{DCFD18DE-EAE1-4D49-A74B-5B2C6E29BF0C}"/>
    <hyperlink ref="G177" r:id="rId403" display="http://www.cg.nic.in/" xr:uid="{43D4CC7E-E8A4-49CE-A114-63B8FEBC13CE}"/>
    <hyperlink ref="K177" r:id="rId404" xr:uid="{CBDC4EB1-4BA6-4519-B2F6-EB206CD4D9BD}"/>
    <hyperlink ref="B178" r:id="rId405" display="https://www.buddy4study.com/scholarship/post-matric-scholarship-for-students-with-disabilities" xr:uid="{11AC04E4-4DC2-4E2C-8D1B-A0E4B66AE907}"/>
    <hyperlink ref="G178" r:id="rId406" xr:uid="{ED23A925-DAB5-4924-B573-078AA3634AC6}"/>
    <hyperlink ref="K178" r:id="rId407" xr:uid="{F428E4DE-E98F-434E-AAE3-A87DFD629410}"/>
    <hyperlink ref="G179" r:id="rId408" xr:uid="{C4EBAF75-6216-47AA-BA8C-AA4023840D14}"/>
    <hyperlink ref="K179" r:id="rId409" xr:uid="{9091D49B-F8F6-4800-B8CA-E0AA994D5071}"/>
    <hyperlink ref="B180" r:id="rId410" display="https://www.buddy4study.com/scholarship/post-matric-scholarships-scheme-for-minorities" xr:uid="{EC51A7A1-843D-41A2-993D-BEE2AE8FCB1D}"/>
    <hyperlink ref="G180" r:id="rId411" xr:uid="{AC67B3ED-389E-4451-A8C1-1AD953477FD0}"/>
    <hyperlink ref="K180" r:id="rId412" xr:uid="{0D28261A-CD71-436F-8D92-28EA76FE69E0}"/>
    <hyperlink ref="G181" r:id="rId413" xr:uid="{97982A69-632B-4648-B11B-9DB456D6EA6D}"/>
    <hyperlink ref="K181" r:id="rId414" xr:uid="{F63F2A9A-DA11-42EC-B00D-2D7F2FD2D3D3}"/>
    <hyperlink ref="G182" r:id="rId415" xr:uid="{0BEA9DF0-7E64-4075-B5E7-0E111FB5E9DA}"/>
    <hyperlink ref="K182" r:id="rId416" xr:uid="{76A8AE0D-9D36-4513-A355-2F89C605BEA3}"/>
    <hyperlink ref="G183" r:id="rId417" xr:uid="{3EAE59D9-C260-4845-B217-400319EA7522}"/>
    <hyperlink ref="K183" r:id="rId418" xr:uid="{777A9915-8FEA-4C7C-8365-5DE00CF8746E}"/>
    <hyperlink ref="G184" r:id="rId419" xr:uid="{D6443836-4F93-4E5F-9C20-8B5CFE433FAE}"/>
    <hyperlink ref="K184" r:id="rId420" xr:uid="{C37E91BC-8B7E-45BF-A051-B2A888CC2C7C}"/>
    <hyperlink ref="K185" r:id="rId421" xr:uid="{28E57080-F8C2-457D-A2D7-1D6AD5329C0F}"/>
    <hyperlink ref="G186" r:id="rId422" xr:uid="{63D765F9-AA35-4B3E-B5B1-398CCD90344A}"/>
    <hyperlink ref="K186" r:id="rId423" xr:uid="{2A89E969-C556-4B74-A5B1-A13F53CA64DC}"/>
    <hyperlink ref="N186" r:id="rId424" display="http://scholarships.uk/" xr:uid="{67DA4458-4D65-470D-A4EE-62B3798FB541}"/>
    <hyperlink ref="G187" r:id="rId425" xr:uid="{AB76EA22-9464-48F3-A118-1CB1A38DAC10}"/>
    <hyperlink ref="K187" r:id="rId426" xr:uid="{6A0C5031-067D-4D2E-9328-20B550EE116D}"/>
    <hyperlink ref="G188" r:id="rId427" xr:uid="{CC11814A-B31B-47BF-894A-DBA8110C24CF}"/>
    <hyperlink ref="K188" r:id="rId428" xr:uid="{9E9E3F52-D55F-479E-B1DA-0C23B2B86519}"/>
    <hyperlink ref="G189" r:id="rId429" xr:uid="{95E11ED7-81F0-4045-BABA-96A9D6E3AD53}"/>
    <hyperlink ref="K189" r:id="rId430" xr:uid="{F8067E7E-3F56-4ED3-B2AB-FD222FC58AB8}"/>
    <hyperlink ref="G190" r:id="rId431" xr:uid="{23B050F1-E09E-4068-94D5-603C3C160D90}"/>
    <hyperlink ref="K190" r:id="rId432" xr:uid="{BA1DEF12-CACA-495A-A8D4-1229BA822A9A}"/>
    <hyperlink ref="G191" r:id="rId433" xr:uid="{7F4A6823-5692-49C9-8253-2EECABA0AAB4}"/>
    <hyperlink ref="K191" r:id="rId434" xr:uid="{3D4006A5-C472-47F7-A9CF-486EE1147018}"/>
    <hyperlink ref="G192" r:id="rId435" xr:uid="{C67F3852-20A8-48D2-9644-170A43F7F80A}"/>
    <hyperlink ref="K192" r:id="rId436" xr:uid="{2B550CEF-7A95-4EE2-8CDB-52C2D00A3B25}"/>
    <hyperlink ref="G193" r:id="rId437" xr:uid="{40D820CD-A5D9-4819-94A1-E896B9133D72}"/>
    <hyperlink ref="K193" r:id="rId438" xr:uid="{3896D537-D228-4413-BD49-CAC6730BD640}"/>
    <hyperlink ref="G194" r:id="rId439" xr:uid="{FA78302C-2C33-478B-BFA3-C6F0B1F589A7}"/>
    <hyperlink ref="K194" r:id="rId440" xr:uid="{97EE819B-D5DE-4B8E-AE29-0B694ABE23C9}"/>
    <hyperlink ref="G195" r:id="rId441" display="https://mahadbt.maharashtra.gov.in/" xr:uid="{749DF2D6-8053-45D4-AB28-FE1B2ADF6E31}"/>
    <hyperlink ref="K195" r:id="rId442" xr:uid="{3AEB54B0-D1B1-4D02-8DF7-222F48053601}"/>
    <hyperlink ref="G196" r:id="rId443" xr:uid="{3AC8F4DB-0BD8-4EFB-9B75-8CAFF9B6B610}"/>
    <hyperlink ref="K196" r:id="rId444" xr:uid="{69745B64-91BB-4131-BE10-73595850456D}"/>
    <hyperlink ref="G197" r:id="rId445" display="https://serb.gov.in/" xr:uid="{5BACF1B2-0FD9-4A9C-8D91-59519B779D54}"/>
    <hyperlink ref="K197" r:id="rId446" xr:uid="{8457FB47-8955-438A-BAF2-294A0AD237C7}"/>
    <hyperlink ref="G198" r:id="rId447" display="https://www.rgipt.ac.in/" xr:uid="{7D01CEE1-D4F7-4E83-B889-0C72BBB73D1B}"/>
    <hyperlink ref="K198" r:id="rId448" xr:uid="{4BB4B323-C248-464E-88DD-A758B71FACCD}"/>
    <hyperlink ref="G199" r:id="rId449" display="http://www.iitkgp.ac.in/" xr:uid="{1B9339BB-46A2-443B-BF0D-2041B19BA043}"/>
    <hyperlink ref="K199" r:id="rId450" xr:uid="{B81AD6FC-B019-487E-BCC4-4CC1DA8F866F}"/>
    <hyperlink ref="G200" r:id="rId451" xr:uid="{ED0DA576-12B3-4128-B1D6-B87E2BEC248A}"/>
    <hyperlink ref="K200" r:id="rId452" xr:uid="{AD154E29-D59E-4F81-B338-AFF5C437D4D8}"/>
    <hyperlink ref="G201" r:id="rId453" xr:uid="{484AD2C0-96BA-4730-A581-522CF04CEF66}"/>
    <hyperlink ref="K201" r:id="rId454" xr:uid="{D7248110-209A-4F41-AA6A-FB9F10573D98}"/>
    <hyperlink ref="G202" r:id="rId455" xr:uid="{232CE8D0-8B45-44D5-AA64-0BF648635538}"/>
    <hyperlink ref="K202" r:id="rId456" xr:uid="{20A0C768-4021-4AE5-AF95-829E931696B0}"/>
    <hyperlink ref="G203" r:id="rId457" xr:uid="{45CD9C94-B8B3-489F-BAD4-C482CD9E3C50}"/>
    <hyperlink ref="K203" r:id="rId458" xr:uid="{C8A2C704-698D-454A-8884-AE6C31315B66}"/>
    <hyperlink ref="G204" r:id="rId459" xr:uid="{7038761B-A98B-4088-8175-AB7F6E24CBCD}"/>
    <hyperlink ref="K204" r:id="rId460" xr:uid="{110990EB-5A9D-47A5-BEB1-4C54FDB73322}"/>
    <hyperlink ref="G205" r:id="rId461" xr:uid="{36B5E7E8-2A66-4F8A-BA44-F9D4B2AB5315}"/>
    <hyperlink ref="K205" r:id="rId462" xr:uid="{D3807429-02B1-42B5-9632-6AB4C5B3F91F}"/>
    <hyperlink ref="G206" r:id="rId463" xr:uid="{175A5AD4-C316-4E93-B0B0-2F516F8130C7}"/>
    <hyperlink ref="K206" r:id="rId464" xr:uid="{E2F19731-31E2-4CBE-B8A7-C8BCD854B456}"/>
    <hyperlink ref="G207" r:id="rId465" xr:uid="{9F9F5ECD-08D9-4914-8AF8-50CECDA53556}"/>
    <hyperlink ref="K207" r:id="rId466" xr:uid="{8DC5AF90-6BBA-4D3D-A4E6-54EA57C1B617}"/>
    <hyperlink ref="G208" r:id="rId467" display="http://scholarships.gov.in/" xr:uid="{A0B6A409-6D27-4D5B-81F8-4A8B0FE8DFF2}"/>
    <hyperlink ref="K208" r:id="rId468" xr:uid="{E3AA2B08-A36F-44E7-8087-E1D81F093E10}"/>
    <hyperlink ref="G209" r:id="rId469" display="http://online.southwales.ac.uk/" xr:uid="{7BFAB2FA-4B7C-44DF-B17A-F3AD2C0208D9}"/>
    <hyperlink ref="K209" r:id="rId470" xr:uid="{66680913-0B5B-4E8D-91EA-8FAC7EA589E4}"/>
    <hyperlink ref="G210" r:id="rId471" display="http://livingoceansfoundation.org/" xr:uid="{FC7F5127-107B-4005-ADB0-348EF1C98D93}"/>
    <hyperlink ref="K210" r:id="rId472" xr:uid="{1088C5B6-D568-4E7B-AD86-027CFA7484A1}"/>
    <hyperlink ref="G211" r:id="rId473" display="http://childrensbooktrust.com/" xr:uid="{4FF3CBDA-EDE6-4D68-A30A-A8E496A27DBF}"/>
    <hyperlink ref="K211" r:id="rId474" xr:uid="{35C65E22-9438-436F-81B2-D00781B44A26}"/>
    <hyperlink ref="G212" r:id="rId475" display="http://shdf.org/" xr:uid="{0D4DB822-1480-4B37-ACEB-68531854BDE8}"/>
    <hyperlink ref="K212" r:id="rId476" xr:uid="{A6211843-552B-4A43-80CA-D4A627DAA4D4}"/>
    <hyperlink ref="G213" r:id="rId477" display="http://snu.edu.in/" xr:uid="{A5ED9A98-6D7A-473A-B0B9-C90453785F28}"/>
    <hyperlink ref="K213" r:id="rId478" xr:uid="{18779EB4-DDAB-4EC1-AB80-BD58E3F7CA47}"/>
    <hyperlink ref="G214" r:id="rId479" xr:uid="{BA42B353-9A85-4681-AC82-8607B7666D6A}"/>
    <hyperlink ref="K214" r:id="rId480" xr:uid="{2F1E5BBE-20E1-4133-9269-BEF27810B469}"/>
    <hyperlink ref="G215" r:id="rId481" xr:uid="{C1D21D99-3352-4D36-A3A2-6C17197C2C10}"/>
    <hyperlink ref="K215" r:id="rId482" xr:uid="{524B24C0-47CF-42A7-9666-B34BCAC2ABB2}"/>
    <hyperlink ref="G216" r:id="rId483" display="http://www.moe.gov.sg/" xr:uid="{F3E16C24-598E-4557-A916-1E000FDBFD2D}"/>
    <hyperlink ref="K216" r:id="rId484" xr:uid="{BBBEDA92-5E41-46FE-986E-07836BFC6ABF}"/>
    <hyperlink ref="G217" r:id="rId485" display="http://www.siemens.co.in/" xr:uid="{5E07FDEF-9FFE-4369-9833-F2497B597861}"/>
    <hyperlink ref="K217" r:id="rId486" xr:uid="{C201C273-6B8E-4A78-85FC-6542472698C6}"/>
    <hyperlink ref="G218" r:id="rId487" display="http://www.soa.ac.in/" xr:uid="{87B7BDAC-AB34-4FFB-BE21-CD3418E227D1}"/>
    <hyperlink ref="K218" r:id="rId488" xr:uid="{7D41948D-49A3-4877-BA39-9460DCC6C000}"/>
    <hyperlink ref="G219" r:id="rId489" xr:uid="{FEA8980E-736B-4B34-8510-DDA22FD66CCE}"/>
    <hyperlink ref="K219" r:id="rId490" xr:uid="{8D242C92-BC96-4048-B3E9-25B6C3228487}"/>
    <hyperlink ref="G220" r:id="rId491" xr:uid="{4E8950F6-ED71-4C58-9A53-468A575B12A0}"/>
    <hyperlink ref="K220" r:id="rId492" xr:uid="{5D8BF585-AC1E-4D79-AD10-269D1F5590DE}"/>
    <hyperlink ref="G221" r:id="rId493" xr:uid="{D628F8CF-34BD-4C61-A574-89CE0C022C13}"/>
    <hyperlink ref="K221" r:id="rId494" xr:uid="{DC550B82-D241-41F7-82DF-776ED8765A82}"/>
    <hyperlink ref="G222" r:id="rId495" xr:uid="{C1ABC8E2-25DB-4841-8A91-AC0AA26D14C6}"/>
    <hyperlink ref="K222" r:id="rId496" xr:uid="{4EB62AB5-F604-4535-A281-0EBDA63543C4}"/>
    <hyperlink ref="G223" r:id="rId497" xr:uid="{635555EE-9BC3-4E02-A8F5-8DDEE90F16E4}"/>
    <hyperlink ref="K223" r:id="rId498" xr:uid="{067B2D22-A145-4429-80E8-00CE9E12E746}"/>
    <hyperlink ref="G224" r:id="rId499" xr:uid="{2D1192FA-15CF-4A83-A334-B40593160A0A}"/>
    <hyperlink ref="K224" r:id="rId500" xr:uid="{5E46E64E-8C46-443E-84D2-C17901F04B7B}"/>
    <hyperlink ref="G225" r:id="rId501" xr:uid="{957D0171-2B0E-4459-9582-AA5242FF4CA7}"/>
    <hyperlink ref="K225" r:id="rId502" xr:uid="{CA21EDCD-D688-49ED-9A1C-65DB0A950450}"/>
    <hyperlink ref="G226" r:id="rId503" xr:uid="{41F22238-BE05-4624-93F5-41DB272B32D5}"/>
    <hyperlink ref="K226" r:id="rId504" xr:uid="{F87D0CC6-42CE-41E6-8D32-C4ED6B3FEB49}"/>
    <hyperlink ref="G227" r:id="rId505" xr:uid="{24FE28D2-9E9B-437F-BDA4-D95C4FC53BE0}"/>
    <hyperlink ref="K227" r:id="rId506" xr:uid="{4990E34B-55D2-457A-9F03-DE57798F40A2}"/>
    <hyperlink ref="G228" r:id="rId507" xr:uid="{A7101078-0691-4869-828B-5260CB93688B}"/>
    <hyperlink ref="K228" r:id="rId508" xr:uid="{08A1704C-3128-4236-879A-9C8647B2E512}"/>
    <hyperlink ref="G229" r:id="rId509" xr:uid="{3E70AFC4-4531-47A9-949E-26918E2729E8}"/>
    <hyperlink ref="K229" r:id="rId510" xr:uid="{0A3D2346-A4C3-47B5-AC83-2C37199350C9}"/>
    <hyperlink ref="G230" r:id="rId511" xr:uid="{D6802B8F-F6F2-4A8F-9F51-7A570EB381CF}"/>
    <hyperlink ref="K230" r:id="rId512" xr:uid="{613B0C12-6118-4DD3-ADEB-23C24F5B5A7B}"/>
    <hyperlink ref="G231" r:id="rId513" xr:uid="{0C491D60-4996-49E1-830E-95CBD5A1B70E}"/>
    <hyperlink ref="K231" r:id="rId514" xr:uid="{157FAAC3-E988-4933-B504-70B81D7428EF}"/>
    <hyperlink ref="G232" r:id="rId515" xr:uid="{D6DDBDD5-0F82-464B-AFAE-54475949784E}"/>
    <hyperlink ref="K232" r:id="rId516" xr:uid="{25AA4822-716E-4A50-A2E1-D4B6EEF5DCFA}"/>
    <hyperlink ref="G233" r:id="rId517" xr:uid="{334099FF-BB11-4EC4-BAFC-0D8FB4FDB8C9}"/>
    <hyperlink ref="K233" r:id="rId518" xr:uid="{1FC9AEE6-1806-441B-8338-DA0B8A036E46}"/>
    <hyperlink ref="G234" r:id="rId519" xr:uid="{40E3A8B4-A0D5-4877-B101-2455D6140342}"/>
    <hyperlink ref="K234" r:id="rId520" xr:uid="{1CA84175-196B-46BF-9EB0-326BBFC52061}"/>
    <hyperlink ref="G235" r:id="rId521" xr:uid="{CB981721-DB1F-4BEA-8152-C0AF03649AF0}"/>
    <hyperlink ref="K235" r:id="rId522" xr:uid="{F6A5BA73-83A5-4043-8F1E-288B37CCB0A6}"/>
    <hyperlink ref="G236" r:id="rId523" xr:uid="{037726B0-34A9-4E43-A790-7ED32584EAB2}"/>
    <hyperlink ref="K236" r:id="rId524" xr:uid="{1E51FEEC-3501-486D-9863-0CBBD7E8B7EB}"/>
    <hyperlink ref="G237" r:id="rId525" xr:uid="{30C28330-82C4-4948-85CD-533533E6CF4B}"/>
    <hyperlink ref="K237" r:id="rId526" xr:uid="{79D6D1F7-D12A-4FE7-98DE-4C1E4A002BA4}"/>
    <hyperlink ref="G238" r:id="rId527" xr:uid="{DD7180DD-4681-4D48-8C5B-3F373C4E54B1}"/>
    <hyperlink ref="K238" r:id="rId528" xr:uid="{D53555A8-4021-4EEF-895E-28C0BD02D95C}"/>
    <hyperlink ref="G239" r:id="rId529" xr:uid="{562A8664-26BD-462B-AC09-E481A9AB7FC5}"/>
    <hyperlink ref="K239" r:id="rId530" xr:uid="{D96E0C52-D495-4CD7-99D6-1549658A90E4}"/>
    <hyperlink ref="G240" r:id="rId531" xr:uid="{E68D0E46-4646-4A08-8F13-706B11C5575E}"/>
    <hyperlink ref="K240" r:id="rId532" xr:uid="{3E2EE666-0B59-4931-B0B8-1CBA17659324}"/>
    <hyperlink ref="G241" r:id="rId533" xr:uid="{6B8881CB-A67D-414F-A599-30AECF6E8948}"/>
    <hyperlink ref="K241" r:id="rId534" xr:uid="{3C701315-F701-48D8-BEF9-21CD14B0FD63}"/>
    <hyperlink ref="G242" r:id="rId535" xr:uid="{48E6C344-AFD9-4022-871D-3D3D24177A9F}"/>
    <hyperlink ref="K242" r:id="rId536" xr:uid="{778AE874-179E-4149-A07E-95672B460939}"/>
    <hyperlink ref="G243" r:id="rId537" xr:uid="{792AFF15-5743-4FD6-BEEC-8BB1D56B739C}"/>
    <hyperlink ref="K243" r:id="rId538" xr:uid="{74F4ADA9-B230-4C60-A6B0-520113BFBBD0}"/>
    <hyperlink ref="G244" r:id="rId539" xr:uid="{1BE59398-8B50-4FDD-A13F-69B5A607F527}"/>
    <hyperlink ref="K244" r:id="rId540" xr:uid="{1F6E0859-61DC-4CC4-B9B7-1C20EB63835E}"/>
    <hyperlink ref="G245" r:id="rId541" xr:uid="{80866FEE-5E78-443C-A212-56F60A9E3589}"/>
    <hyperlink ref="K245" r:id="rId542" xr:uid="{97DF5130-BE92-4B8E-A041-A079CA766B2A}"/>
    <hyperlink ref="G246" r:id="rId543" xr:uid="{544FE918-E59D-4A0E-9EF1-E8E347096447}"/>
    <hyperlink ref="K246" r:id="rId544" xr:uid="{03739509-FABD-4B82-9B92-72CEC6EF431C}"/>
    <hyperlink ref="G247" r:id="rId545" xr:uid="{640351CB-5A83-4080-B43A-C4F2E483BB5F}"/>
    <hyperlink ref="K247" r:id="rId546" xr:uid="{BA19CD83-73CC-4949-8F8C-CBA58B89A193}"/>
    <hyperlink ref="G248" r:id="rId547" xr:uid="{1019F735-CAF8-4726-B862-09E50AAC5C38}"/>
    <hyperlink ref="K248" r:id="rId548" xr:uid="{CEB80D7C-AAA3-484C-B9B1-ADA1966C8BD2}"/>
    <hyperlink ref="G249" r:id="rId549" xr:uid="{70E3E6C3-8A38-4532-B964-6274D65249A9}"/>
    <hyperlink ref="K249" r:id="rId550" xr:uid="{23071522-9755-484C-B303-BAB3991A41EF}"/>
    <hyperlink ref="G250" r:id="rId551" xr:uid="{AB00AB17-D288-4916-9BB7-5F1A8D2E2301}"/>
    <hyperlink ref="K250" r:id="rId552" xr:uid="{44A94CD4-B8B9-4590-9A30-135283C9CB86}"/>
    <hyperlink ref="G251" r:id="rId553" xr:uid="{B7A1F9F1-FFA5-4E80-92C3-CAD7231F5E71}"/>
    <hyperlink ref="K251" r:id="rId554" xr:uid="{F985E58A-70CE-4DFE-B6CF-79CC4995A4A2}"/>
    <hyperlink ref="G252" r:id="rId555" xr:uid="{F596CF88-9D86-44C0-BF33-E73022E77619}"/>
    <hyperlink ref="K252" r:id="rId556" xr:uid="{37D7D001-9D48-482F-88FA-5795AC622959}"/>
    <hyperlink ref="G253" r:id="rId557" xr:uid="{F7B46783-CCB6-464B-BF9F-7E9512FC253A}"/>
    <hyperlink ref="K253" r:id="rId558" xr:uid="{FCD649BE-C9E4-4247-8BC6-88647AB5CA36}"/>
    <hyperlink ref="G254" r:id="rId559" xr:uid="{5FD2BBDB-B14D-411E-8D63-F2C21E273B44}"/>
    <hyperlink ref="K254" r:id="rId560" xr:uid="{0B75606C-C90D-4B84-956C-FED63B8BCC23}"/>
    <hyperlink ref="G255" r:id="rId561" xr:uid="{99ED74C9-EC29-41B9-BE6C-D8C5BB115118}"/>
    <hyperlink ref="K255" r:id="rId562" xr:uid="{AA7DEC51-F719-433D-AB17-0CE14158B291}"/>
    <hyperlink ref="G256" r:id="rId563" xr:uid="{2A6E7E2E-6A59-48FB-BEA6-99D1C582A5B4}"/>
    <hyperlink ref="K256" r:id="rId564" xr:uid="{2CB95B1E-12F3-4385-8D3F-1D6813B64B78}"/>
    <hyperlink ref="G257" r:id="rId565" xr:uid="{B530A197-7E1A-4E75-A933-C7EF82D06824}"/>
    <hyperlink ref="K257" r:id="rId566" xr:uid="{9F3C2290-5008-448C-AFF9-F22FA6732664}"/>
    <hyperlink ref="G258" r:id="rId567" xr:uid="{0A91C3F9-9FBE-4001-BE68-89E39B9953F7}"/>
    <hyperlink ref="K258" r:id="rId568" xr:uid="{92D8442E-A4B7-457E-B5AE-8231C14298DF}"/>
    <hyperlink ref="G259" r:id="rId569" xr:uid="{5982A077-33B6-4D7A-BBAE-574C414E5E56}"/>
    <hyperlink ref="G260" r:id="rId570" xr:uid="{EA3B50B8-BE29-4772-B893-96A83C06B29A}"/>
    <hyperlink ref="K260" r:id="rId571" xr:uid="{FEE8B291-8037-4DAF-9DAB-6A9E7B68C596}"/>
    <hyperlink ref="N2" r:id="rId572" xr:uid="{C5DCDC74-9AC4-4CDD-8F75-30274BD17CE0}"/>
    <hyperlink ref="G261" r:id="rId573" xr:uid="{BAD78F9F-138D-46F1-A6E7-4B5CC8E09857}"/>
    <hyperlink ref="K261" r:id="rId574" xr:uid="{6169F7D5-DD24-4016-8EEC-FB9E6613C5DF}"/>
    <hyperlink ref="N261" r:id="rId575" xr:uid="{32865D6F-F74A-4022-B30A-4A6AA4312A40}"/>
  </hyperlinks>
  <pageMargins left="0.7" right="0.7" top="0.75" bottom="0.75" header="0.3" footer="0.3"/>
  <pageSetup orientation="portrait" r:id="rId57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Poonam</dc:creator>
  <cp:lastModifiedBy>Poonam</cp:lastModifiedBy>
  <dcterms:created xsi:type="dcterms:W3CDTF">2024-10-02T10:36:34Z</dcterms:created>
  <dcterms:modified xsi:type="dcterms:W3CDTF">2024-10-24T07:19:51Z</dcterms:modified>
</cp:coreProperties>
</file>